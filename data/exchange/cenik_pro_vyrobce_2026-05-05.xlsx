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ík" sheetId="1" state="visible" r:id="rId1"/>
    <sheet xmlns:r="http://schemas.openxmlformats.org/officeDocument/2006/relationships" name="Poky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Kč&quot;"/>
    <numFmt numFmtId="165" formatCode="0&quot;%&quot;"/>
    <numFmt numFmtId="166" formatCode="#,##0.00 &quot;€&quot;"/>
  </numFmts>
  <fonts count="10">
    <font>
      <name val="Calibri"/>
      <family val="2"/>
      <color theme="1"/>
      <sz val="11"/>
      <scheme val="minor"/>
    </font>
    <font>
      <name val="Segoe UI"/>
      <i val="1"/>
      <color rgb="00455A64"/>
      <sz val="10"/>
    </font>
    <font>
      <name val="Segoe UI"/>
      <color rgb="006B798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6B3"/>
      <sz val="14"/>
    </font>
    <font>
      <name val="Segoe UI"/>
      <b val="1"/>
      <sz val="11"/>
    </font>
    <font>
      <name val="Segoe UI"/>
      <color rgb="00455A64"/>
      <sz val="10"/>
    </font>
    <font>
      <name val="Segoe UI"/>
      <sz val="11"/>
    </font>
    <font>
      <name val="Segoe UI"/>
      <color rgb="006B7989"/>
      <sz val="10"/>
    </font>
  </fonts>
  <fills count="7">
    <fill>
      <patternFill/>
    </fill>
    <fill>
      <patternFill patternType="gray125"/>
    </fill>
    <fill>
      <patternFill patternType="solid">
        <fgColor rgb="000066B3"/>
      </patternFill>
    </fill>
    <fill>
      <patternFill patternType="solid">
        <fgColor rgb="00F5F7FA"/>
      </patternFill>
    </fill>
    <fill>
      <patternFill patternType="solid">
        <fgColor rgb="00FFF8E8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166" fontId="4" fillId="4" borderId="1" applyAlignment="1" pivotButton="0" quotePrefix="0" xfId="0">
      <alignment vertical="center" wrapText="1"/>
    </xf>
    <xf numFmtId="166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26" customWidth="1" min="4" max="4"/>
    <col width="10" customWidth="1" min="5" max="5"/>
    <col width="18" customWidth="1" min="6" max="6"/>
    <col width="14" customWidth="1" min="7" max="7"/>
    <col width="20" customWidth="1" min="8" max="8"/>
    <col width="18" customWidth="1" min="9" max="9"/>
    <col width="14" customWidth="1" min="10" max="10"/>
    <col width="20" customWidth="1" min="11" max="11"/>
    <col width="16" customWidth="1" min="12" max="12"/>
    <col width="18" customWidth="1" min="13" max="13"/>
    <col width="16" customWidth="1" min="14" max="14"/>
    <col width="16" customWidth="1" min="15" max="15"/>
    <col width="28" customWidth="1" min="16" max="16"/>
  </cols>
  <sheetData>
    <row r="1" ht="42" customHeight="1">
      <c r="A1" s="1" t="inlineStr">
        <is>
          <t>Sidolux / Lakma — formulář pro doplnění cen a doplňujících údajů pro Heureka feed (CZ + SK). Vyplňte žluté sloupce. Modré (Cena s DPH) se dopočítají automaticky. Sloupce A–E jsou předvyplněné, neměňte je.</t>
        </is>
      </c>
    </row>
    <row r="2">
      <c r="A2" s="2" t="inlineStr">
        <is>
          <t>Vygenerováno: 2026-05-05 · Drogerie ZDE · Počet produktů: 143 · Párovací klíč: Kód Lakma (sloupec A)</t>
        </is>
      </c>
    </row>
    <row r="4" ht="42" customHeight="1">
      <c r="A4" s="3" t="inlineStr">
        <is>
          <t>Kód Lakma</t>
        </is>
      </c>
      <c r="B4" s="3" t="inlineStr">
        <is>
          <t>Název produktu</t>
        </is>
      </c>
      <c r="C4" s="3" t="inlineStr">
        <is>
          <t>EAN</t>
        </is>
      </c>
      <c r="D4" s="3" t="inlineStr">
        <is>
          <t>Řada</t>
        </is>
      </c>
      <c r="E4" s="3" t="inlineStr">
        <is>
          <t>Objem</t>
        </is>
      </c>
      <c r="F4" s="3" t="inlineStr">
        <is>
          <t>Cena bez DPH v CZK</t>
        </is>
      </c>
      <c r="G4" s="3" t="inlineStr">
        <is>
          <t>Sazba DPH CZ (%)</t>
        </is>
      </c>
      <c r="H4" s="3" t="inlineStr">
        <is>
          <t>Cena s DPH v CZK (auto)</t>
        </is>
      </c>
      <c r="I4" s="3" t="inlineStr">
        <is>
          <t>Cena bez DPH v EUR</t>
        </is>
      </c>
      <c r="J4" s="3" t="inlineStr">
        <is>
          <t>Sazba DPH SK (%)</t>
        </is>
      </c>
      <c r="K4" s="3" t="inlineStr">
        <is>
          <t>Cena s DPH v EUR (auto)</t>
        </is>
      </c>
      <c r="L4" s="3" t="inlineStr">
        <is>
          <t>Země původu</t>
        </is>
      </c>
      <c r="M4" s="3" t="inlineStr">
        <is>
          <t>MPN / Kód výrobce</t>
        </is>
      </c>
      <c r="N4" s="3" t="inlineStr">
        <is>
          <t>PAO (měs. po otevření)</t>
        </is>
      </c>
      <c r="O4" s="3" t="inlineStr">
        <is>
          <t>Záruční doba (měs.)</t>
        </is>
      </c>
      <c r="P4" s="3" t="inlineStr">
        <is>
          <t>Poznámka výrobce</t>
        </is>
      </c>
    </row>
    <row r="5">
      <c r="A5" s="4" t="inlineStr">
        <is>
          <t>1014009</t>
        </is>
      </c>
      <c r="B5" s="5" t="inlineStr">
        <is>
          <t>Q POWER Leštící emulze na podlahy 500 ml</t>
        </is>
      </c>
      <c r="C5" s="4" t="inlineStr">
        <is>
          <t>8590273707376</t>
        </is>
      </c>
      <c r="D5" s="5" t="inlineStr"/>
      <c r="E5" s="4" t="inlineStr">
        <is>
          <t>500ml</t>
        </is>
      </c>
      <c r="F5" s="6" t="n"/>
      <c r="G5" s="7" t="n">
        <v>21</v>
      </c>
      <c r="H5" s="8">
        <f>F5*(1+G5/100)</f>
        <v/>
      </c>
      <c r="I5" s="9" t="n"/>
      <c r="J5" s="7" t="n">
        <v>23</v>
      </c>
      <c r="K5" s="10">
        <f>I5*(1+J5/100)</f>
        <v/>
      </c>
      <c r="L5" s="11" t="inlineStr">
        <is>
          <t>Polsko</t>
        </is>
      </c>
      <c r="M5" s="12" t="n"/>
      <c r="N5" s="13" t="n"/>
      <c r="O5" s="13" t="n"/>
      <c r="P5" s="12" t="n"/>
    </row>
    <row r="6">
      <c r="A6" s="4" t="inlineStr">
        <is>
          <t>1012504</t>
        </is>
      </c>
      <c r="B6" s="5" t="inlineStr">
        <is>
          <t>MR. TEPPICH Odstraňovač skvrn z čalounění Fresh 500 ml</t>
        </is>
      </c>
      <c r="C6" s="4" t="inlineStr">
        <is>
          <t>5902986204784</t>
        </is>
      </c>
      <c r="D6" s="5" t="inlineStr">
        <is>
          <t>MR. TEPPICH</t>
        </is>
      </c>
      <c r="E6" s="4" t="inlineStr">
        <is>
          <t>500ml</t>
        </is>
      </c>
      <c r="F6" s="6" t="n"/>
      <c r="G6" s="7" t="n">
        <v>21</v>
      </c>
      <c r="H6" s="8">
        <f>F6*(1+G6/100)</f>
        <v/>
      </c>
      <c r="I6" s="9" t="n"/>
      <c r="J6" s="7" t="n">
        <v>23</v>
      </c>
      <c r="K6" s="10">
        <f>I6*(1+J6/100)</f>
        <v/>
      </c>
      <c r="L6" s="11" t="inlineStr">
        <is>
          <t>Polsko</t>
        </is>
      </c>
      <c r="M6" s="12" t="n"/>
      <c r="N6" s="13" t="n"/>
      <c r="O6" s="13" t="n"/>
      <c r="P6" s="12" t="n"/>
    </row>
    <row r="7">
      <c r="A7" s="4" t="inlineStr">
        <is>
          <t>1012506</t>
        </is>
      </c>
      <c r="B7" s="5" t="inlineStr">
        <is>
          <t>MR. TEPPICH Suchá pěna Moře 600 ml</t>
        </is>
      </c>
      <c r="C7" s="4" t="inlineStr">
        <is>
          <t>5902986223136</t>
        </is>
      </c>
      <c r="D7" s="5" t="inlineStr">
        <is>
          <t>MR. TEPPICH</t>
        </is>
      </c>
      <c r="E7" s="4" t="inlineStr">
        <is>
          <t>600ml</t>
        </is>
      </c>
      <c r="F7" s="6" t="n"/>
      <c r="G7" s="7" t="n">
        <v>21</v>
      </c>
      <c r="H7" s="8">
        <f>F7*(1+G7/100)</f>
        <v/>
      </c>
      <c r="I7" s="9" t="n"/>
      <c r="J7" s="7" t="n">
        <v>23</v>
      </c>
      <c r="K7" s="10">
        <f>I7*(1+J7/100)</f>
        <v/>
      </c>
      <c r="L7" s="11" t="inlineStr">
        <is>
          <t>Polsko</t>
        </is>
      </c>
      <c r="M7" s="12" t="n"/>
      <c r="N7" s="13" t="n"/>
      <c r="O7" s="13" t="n"/>
      <c r="P7" s="12" t="n"/>
    </row>
    <row r="8">
      <c r="A8" s="4" t="inlineStr">
        <is>
          <t>1012507</t>
        </is>
      </c>
      <c r="B8" s="5" t="inlineStr">
        <is>
          <t>MR. TEPPICH Suchá pěna Květy 600 ml</t>
        </is>
      </c>
      <c r="C8" s="4" t="inlineStr">
        <is>
          <t>5902986223112</t>
        </is>
      </c>
      <c r="D8" s="5" t="inlineStr">
        <is>
          <t>MR. TEPPICH</t>
        </is>
      </c>
      <c r="E8" s="4" t="inlineStr">
        <is>
          <t>600ml</t>
        </is>
      </c>
      <c r="F8" s="6" t="n"/>
      <c r="G8" s="7" t="n">
        <v>21</v>
      </c>
      <c r="H8" s="8">
        <f>F8*(1+G8/100)</f>
        <v/>
      </c>
      <c r="I8" s="9" t="n"/>
      <c r="J8" s="7" t="n">
        <v>23</v>
      </c>
      <c r="K8" s="10">
        <f>I8*(1+J8/100)</f>
        <v/>
      </c>
      <c r="L8" s="11" t="inlineStr">
        <is>
          <t>Polsko</t>
        </is>
      </c>
      <c r="M8" s="12" t="n"/>
      <c r="N8" s="13" t="n"/>
      <c r="O8" s="13" t="n"/>
      <c r="P8" s="12" t="n"/>
    </row>
    <row r="9">
      <c r="A9" s="4" t="inlineStr">
        <is>
          <t>1013610</t>
        </is>
      </c>
      <c r="B9" s="5" t="inlineStr">
        <is>
          <t>PERLUX Super compact white prací perly 32 ks</t>
        </is>
      </c>
      <c r="C9" s="4" t="inlineStr">
        <is>
          <t>5907542746180</t>
        </is>
      </c>
      <c r="D9" s="5" t="inlineStr">
        <is>
          <t>PERLUX</t>
        </is>
      </c>
      <c r="E9" s="4" t="inlineStr">
        <is>
          <t>32ks</t>
        </is>
      </c>
      <c r="F9" s="6" t="n"/>
      <c r="G9" s="7" t="n">
        <v>21</v>
      </c>
      <c r="H9" s="8">
        <f>F9*(1+G9/100)</f>
        <v/>
      </c>
      <c r="I9" s="9" t="n"/>
      <c r="J9" s="7" t="n">
        <v>23</v>
      </c>
      <c r="K9" s="10">
        <f>I9*(1+J9/100)</f>
        <v/>
      </c>
      <c r="L9" s="11" t="inlineStr">
        <is>
          <t>Polsko</t>
        </is>
      </c>
      <c r="M9" s="12" t="n"/>
      <c r="N9" s="13" t="n"/>
      <c r="O9" s="13" t="n"/>
      <c r="P9" s="12" t="n"/>
    </row>
    <row r="10">
      <c r="A10" s="4" t="inlineStr">
        <is>
          <t>1013611</t>
        </is>
      </c>
      <c r="B10" s="5" t="inlineStr">
        <is>
          <t>PERLUX Super compact color prací perly 32 ks</t>
        </is>
      </c>
      <c r="C10" s="4" t="inlineStr">
        <is>
          <t>5907542746203</t>
        </is>
      </c>
      <c r="D10" s="5" t="inlineStr">
        <is>
          <t>PERLUX</t>
        </is>
      </c>
      <c r="E10" s="4" t="inlineStr">
        <is>
          <t>32ks</t>
        </is>
      </c>
      <c r="F10" s="6" t="n"/>
      <c r="G10" s="7" t="n">
        <v>21</v>
      </c>
      <c r="H10" s="8">
        <f>F10*(1+G10/100)</f>
        <v/>
      </c>
      <c r="I10" s="9" t="n"/>
      <c r="J10" s="7" t="n">
        <v>23</v>
      </c>
      <c r="K10" s="10">
        <f>I10*(1+J10/100)</f>
        <v/>
      </c>
      <c r="L10" s="11" t="inlineStr">
        <is>
          <t>Polsko</t>
        </is>
      </c>
      <c r="M10" s="12" t="n"/>
      <c r="N10" s="13" t="n"/>
      <c r="O10" s="13" t="n"/>
      <c r="P10" s="12" t="n"/>
    </row>
    <row r="11">
      <c r="A11" s="4" t="inlineStr">
        <is>
          <t>1013617</t>
        </is>
      </c>
      <c r="B11" s="5" t="inlineStr">
        <is>
          <t>SIDOLUX Praní Multicaps color peel-off 10 ks</t>
        </is>
      </c>
      <c r="C11" s="4" t="inlineStr">
        <is>
          <t>5902986215254</t>
        </is>
      </c>
      <c r="D11" s="5" t="inlineStr">
        <is>
          <t>PERLUX</t>
        </is>
      </c>
      <c r="E11" s="4" t="inlineStr">
        <is>
          <t>10ks</t>
        </is>
      </c>
      <c r="F11" s="6" t="n"/>
      <c r="G11" s="7" t="n">
        <v>21</v>
      </c>
      <c r="H11" s="8">
        <f>F11*(1+G11/100)</f>
        <v/>
      </c>
      <c r="I11" s="9" t="n"/>
      <c r="J11" s="7" t="n">
        <v>23</v>
      </c>
      <c r="K11" s="10">
        <f>I11*(1+J11/100)</f>
        <v/>
      </c>
      <c r="L11" s="11" t="inlineStr">
        <is>
          <t>Polsko</t>
        </is>
      </c>
      <c r="M11" s="12" t="n"/>
      <c r="N11" s="13" t="n"/>
      <c r="O11" s="13" t="n"/>
      <c r="P11" s="12" t="n"/>
    </row>
    <row r="12">
      <c r="A12" s="4" t="inlineStr">
        <is>
          <t>1013623</t>
        </is>
      </c>
      <c r="B12" s="5" t="inlineStr">
        <is>
          <t>SIDOLUX Praní Multicaps white doypack 10 ks</t>
        </is>
      </c>
      <c r="C12" s="4" t="inlineStr">
        <is>
          <t>5902986216534</t>
        </is>
      </c>
      <c r="D12" s="5" t="inlineStr">
        <is>
          <t>PERLUX</t>
        </is>
      </c>
      <c r="E12" s="4" t="inlineStr">
        <is>
          <t>10ks</t>
        </is>
      </c>
      <c r="F12" s="6" t="n"/>
      <c r="G12" s="7" t="n">
        <v>21</v>
      </c>
      <c r="H12" s="8">
        <f>F12*(1+G12/100)</f>
        <v/>
      </c>
      <c r="I12" s="9" t="n"/>
      <c r="J12" s="7" t="n">
        <v>23</v>
      </c>
      <c r="K12" s="10">
        <f>I12*(1+J12/100)</f>
        <v/>
      </c>
      <c r="L12" s="11" t="inlineStr">
        <is>
          <t>Polsko</t>
        </is>
      </c>
      <c r="M12" s="12" t="n"/>
      <c r="N12" s="13" t="n"/>
      <c r="O12" s="13" t="n"/>
      <c r="P12" s="12" t="n"/>
    </row>
    <row r="13">
      <c r="A13" s="4" t="inlineStr">
        <is>
          <t>1013624</t>
        </is>
      </c>
      <c r="B13" s="5" t="inlineStr">
        <is>
          <t>SIDOLUX Praní Multicaps color doypack 10 ks</t>
        </is>
      </c>
      <c r="C13" s="4" t="inlineStr">
        <is>
          <t>5902986216558</t>
        </is>
      </c>
      <c r="D13" s="5" t="inlineStr">
        <is>
          <t>PERLUX</t>
        </is>
      </c>
      <c r="E13" s="4" t="inlineStr">
        <is>
          <t>10ks</t>
        </is>
      </c>
      <c r="F13" s="6" t="n"/>
      <c r="G13" s="7" t="n">
        <v>21</v>
      </c>
      <c r="H13" s="8">
        <f>F13*(1+G13/100)</f>
        <v/>
      </c>
      <c r="I13" s="9" t="n"/>
      <c r="J13" s="7" t="n">
        <v>23</v>
      </c>
      <c r="K13" s="10">
        <f>I13*(1+J13/100)</f>
        <v/>
      </c>
      <c r="L13" s="11" t="inlineStr">
        <is>
          <t>Polsko</t>
        </is>
      </c>
      <c r="M13" s="12" t="n"/>
      <c r="N13" s="13" t="n"/>
      <c r="O13" s="13" t="n"/>
      <c r="P13" s="12" t="n"/>
    </row>
    <row r="14">
      <c r="A14" s="4" t="inlineStr">
        <is>
          <t>1013625</t>
        </is>
      </c>
      <c r="B14" s="5" t="inlineStr">
        <is>
          <t>SIDOLUX Praní Multicaps black doypack 10 ks</t>
        </is>
      </c>
      <c r="C14" s="4" t="inlineStr">
        <is>
          <t>5902986216572</t>
        </is>
      </c>
      <c r="D14" s="5" t="inlineStr">
        <is>
          <t>PERLUX</t>
        </is>
      </c>
      <c r="E14" s="4" t="inlineStr">
        <is>
          <t>10ks</t>
        </is>
      </c>
      <c r="F14" s="6" t="n"/>
      <c r="G14" s="7" t="n">
        <v>21</v>
      </c>
      <c r="H14" s="8">
        <f>F14*(1+G14/100)</f>
        <v/>
      </c>
      <c r="I14" s="9" t="n"/>
      <c r="J14" s="7" t="n">
        <v>23</v>
      </c>
      <c r="K14" s="10">
        <f>I14*(1+J14/100)</f>
        <v/>
      </c>
      <c r="L14" s="11" t="inlineStr">
        <is>
          <t>Polsko</t>
        </is>
      </c>
      <c r="M14" s="12" t="n"/>
      <c r="N14" s="13" t="n"/>
      <c r="O14" s="13" t="n"/>
      <c r="P14" s="12" t="n"/>
    </row>
    <row r="15">
      <c r="A15" s="4" t="inlineStr">
        <is>
          <t>1013804</t>
        </is>
      </c>
      <c r="B15" s="5" t="inlineStr">
        <is>
          <t>PERLUX Parfume Elegance koncentrovaná aviváž 1000 ml</t>
        </is>
      </c>
      <c r="C15" s="4" t="inlineStr">
        <is>
          <t>5907542746326</t>
        </is>
      </c>
      <c r="D15" s="5" t="inlineStr">
        <is>
          <t>PERLUX</t>
        </is>
      </c>
      <c r="E15" s="4" t="inlineStr">
        <is>
          <t>1000ml</t>
        </is>
      </c>
      <c r="F15" s="6" t="n"/>
      <c r="G15" s="7" t="n">
        <v>21</v>
      </c>
      <c r="H15" s="8">
        <f>F15*(1+G15/100)</f>
        <v/>
      </c>
      <c r="I15" s="9" t="n"/>
      <c r="J15" s="7" t="n">
        <v>23</v>
      </c>
      <c r="K15" s="10">
        <f>I15*(1+J15/100)</f>
        <v/>
      </c>
      <c r="L15" s="11" t="inlineStr">
        <is>
          <t>Polsko</t>
        </is>
      </c>
      <c r="M15" s="12" t="n"/>
      <c r="N15" s="13" t="n"/>
      <c r="O15" s="13" t="n"/>
      <c r="P15" s="12" t="n"/>
    </row>
    <row r="16">
      <c r="A16" s="4" t="inlineStr">
        <is>
          <t>1013805</t>
        </is>
      </c>
      <c r="B16" s="5" t="inlineStr">
        <is>
          <t>PERLUX Parfume Glamoure koncentrovaná aviváž 1000 ml</t>
        </is>
      </c>
      <c r="C16" s="4" t="inlineStr">
        <is>
          <t>5907542746340</t>
        </is>
      </c>
      <c r="D16" s="5" t="inlineStr">
        <is>
          <t>PERLUX</t>
        </is>
      </c>
      <c r="E16" s="4" t="inlineStr">
        <is>
          <t>1000ml</t>
        </is>
      </c>
      <c r="F16" s="6" t="n"/>
      <c r="G16" s="7" t="n">
        <v>21</v>
      </c>
      <c r="H16" s="8">
        <f>F16*(1+G16/100)</f>
        <v/>
      </c>
      <c r="I16" s="9" t="n"/>
      <c r="J16" s="7" t="n">
        <v>23</v>
      </c>
      <c r="K16" s="10">
        <f>I16*(1+J16/100)</f>
        <v/>
      </c>
      <c r="L16" s="11" t="inlineStr">
        <is>
          <t>Polsko</t>
        </is>
      </c>
      <c r="M16" s="12" t="n"/>
      <c r="N16" s="13" t="n"/>
      <c r="O16" s="13" t="n"/>
      <c r="P16" s="12" t="n"/>
    </row>
    <row r="17">
      <c r="A17" s="4" t="inlineStr">
        <is>
          <t>1013806</t>
        </is>
      </c>
      <c r="B17" s="5" t="inlineStr">
        <is>
          <t>PERLUX Parfume Passion koncentrovaná aviváž 1000 ml</t>
        </is>
      </c>
      <c r="C17" s="4" t="inlineStr">
        <is>
          <t>5907542746302</t>
        </is>
      </c>
      <c r="D17" s="5" t="inlineStr">
        <is>
          <t>PERLUX</t>
        </is>
      </c>
      <c r="E17" s="4" t="inlineStr">
        <is>
          <t>1000ml</t>
        </is>
      </c>
      <c r="F17" s="6" t="n"/>
      <c r="G17" s="7" t="n">
        <v>21</v>
      </c>
      <c r="H17" s="8">
        <f>F17*(1+G17/100)</f>
        <v/>
      </c>
      <c r="I17" s="9" t="n"/>
      <c r="J17" s="7" t="n">
        <v>23</v>
      </c>
      <c r="K17" s="10">
        <f>I17*(1+J17/100)</f>
        <v/>
      </c>
      <c r="L17" s="11" t="inlineStr">
        <is>
          <t>Polsko</t>
        </is>
      </c>
      <c r="M17" s="12" t="n"/>
      <c r="N17" s="13" t="n"/>
      <c r="O17" s="13" t="n"/>
      <c r="P17" s="12" t="n"/>
    </row>
    <row r="18">
      <c r="A18" s="4" t="inlineStr">
        <is>
          <t>1013502</t>
        </is>
      </c>
      <c r="B18" s="5" t="inlineStr">
        <is>
          <t>SILUX WC Gel Lemon 1000 ml</t>
        </is>
      </c>
      <c r="C18" s="4" t="inlineStr">
        <is>
          <t>5907542740782</t>
        </is>
      </c>
      <c r="D18" s="5" t="inlineStr">
        <is>
          <t>SILUX WC</t>
        </is>
      </c>
      <c r="E18" s="4" t="inlineStr">
        <is>
          <t>1000ml</t>
        </is>
      </c>
      <c r="F18" s="6" t="n"/>
      <c r="G18" s="7" t="n">
        <v>21</v>
      </c>
      <c r="H18" s="8">
        <f>F18*(1+G18/100)</f>
        <v/>
      </c>
      <c r="I18" s="9" t="n"/>
      <c r="J18" s="7" t="n">
        <v>23</v>
      </c>
      <c r="K18" s="10">
        <f>I18*(1+J18/100)</f>
        <v/>
      </c>
      <c r="L18" s="11" t="inlineStr">
        <is>
          <t>Polsko</t>
        </is>
      </c>
      <c r="M18" s="12" t="n"/>
      <c r="N18" s="13" t="n"/>
      <c r="O18" s="13" t="n"/>
      <c r="P18" s="12" t="n"/>
    </row>
    <row r="19">
      <c r="A19" s="4" t="inlineStr">
        <is>
          <t>1013505</t>
        </is>
      </c>
      <c r="B19" s="5" t="inlineStr">
        <is>
          <t>SILUX WC Gel Power dvojitá síla 750 ml</t>
        </is>
      </c>
      <c r="C19" s="4" t="inlineStr">
        <is>
          <t>5902986212086</t>
        </is>
      </c>
      <c r="D19" s="5" t="inlineStr">
        <is>
          <t>SILUX WC</t>
        </is>
      </c>
      <c r="E19" s="4" t="inlineStr">
        <is>
          <t>750ml</t>
        </is>
      </c>
      <c r="F19" s="6" t="n"/>
      <c r="G19" s="7" t="n">
        <v>21</v>
      </c>
      <c r="H19" s="8">
        <f>F19*(1+G19/100)</f>
        <v/>
      </c>
      <c r="I19" s="9" t="n"/>
      <c r="J19" s="7" t="n">
        <v>23</v>
      </c>
      <c r="K19" s="10">
        <f>I19*(1+J19/100)</f>
        <v/>
      </c>
      <c r="L19" s="11" t="inlineStr">
        <is>
          <t>Polsko</t>
        </is>
      </c>
      <c r="M19" s="12" t="n"/>
      <c r="N19" s="13" t="n"/>
      <c r="O19" s="13" t="n"/>
      <c r="P19" s="12" t="n"/>
    </row>
    <row r="20">
      <c r="A20" s="4" t="inlineStr">
        <is>
          <t>1013506</t>
        </is>
      </c>
      <c r="B20" s="5" t="inlineStr">
        <is>
          <t>SILUX WC Gel Active Lesní 750 ml</t>
        </is>
      </c>
      <c r="C20" s="4" t="inlineStr">
        <is>
          <t>5902986212116</t>
        </is>
      </c>
      <c r="D20" s="5" t="inlineStr">
        <is>
          <t>SILUX WC</t>
        </is>
      </c>
      <c r="E20" s="4" t="inlineStr">
        <is>
          <t>750ml</t>
        </is>
      </c>
      <c r="F20" s="6" t="n"/>
      <c r="G20" s="7" t="n">
        <v>21</v>
      </c>
      <c r="H20" s="8">
        <f>F20*(1+G20/100)</f>
        <v/>
      </c>
      <c r="I20" s="9" t="n"/>
      <c r="J20" s="7" t="n">
        <v>23</v>
      </c>
      <c r="K20" s="10">
        <f>I20*(1+J20/100)</f>
        <v/>
      </c>
      <c r="L20" s="11" t="inlineStr">
        <is>
          <t>Polsko</t>
        </is>
      </c>
      <c r="M20" s="12" t="n"/>
      <c r="N20" s="13" t="n"/>
      <c r="O20" s="13" t="n"/>
      <c r="P20" s="12" t="n"/>
    </row>
    <row r="21">
      <c r="A21" s="4" t="inlineStr">
        <is>
          <t>1015000</t>
        </is>
      </c>
      <c r="B21" s="5" t="inlineStr">
        <is>
          <t>SIDOLUX Eco na podlahy 1000 ml</t>
        </is>
      </c>
      <c r="C21" s="4" t="inlineStr">
        <is>
          <t>5902986211263</t>
        </is>
      </c>
      <c r="D21" s="5" t="inlineStr">
        <is>
          <t>Sidolux ECO</t>
        </is>
      </c>
      <c r="E21" s="4" t="inlineStr">
        <is>
          <t>1000ml</t>
        </is>
      </c>
      <c r="F21" s="6" t="n"/>
      <c r="G21" s="7" t="n">
        <v>21</v>
      </c>
      <c r="H21" s="8">
        <f>F21*(1+G21/100)</f>
        <v/>
      </c>
      <c r="I21" s="9" t="n"/>
      <c r="J21" s="7" t="n">
        <v>23</v>
      </c>
      <c r="K21" s="10">
        <f>I21*(1+J21/100)</f>
        <v/>
      </c>
      <c r="L21" s="11" t="inlineStr">
        <is>
          <t>Polsko</t>
        </is>
      </c>
      <c r="M21" s="12" t="n"/>
      <c r="N21" s="13" t="n"/>
      <c r="O21" s="13" t="n"/>
      <c r="P21" s="12" t="n"/>
    </row>
    <row r="22">
      <c r="A22" s="4" t="inlineStr">
        <is>
          <t>1015001</t>
        </is>
      </c>
      <c r="B22" s="5" t="inlineStr">
        <is>
          <t>SIDOLUX Eco univerzální 500 ml</t>
        </is>
      </c>
      <c r="C22" s="4" t="inlineStr">
        <is>
          <t>5902986211287</t>
        </is>
      </c>
      <c r="D22" s="5" t="inlineStr">
        <is>
          <t>Sidolux ECO</t>
        </is>
      </c>
      <c r="E22" s="4" t="inlineStr">
        <is>
          <t>500ml</t>
        </is>
      </c>
      <c r="F22" s="6" t="n"/>
      <c r="G22" s="7" t="n">
        <v>21</v>
      </c>
      <c r="H22" s="8">
        <f>F22*(1+G22/100)</f>
        <v/>
      </c>
      <c r="I22" s="9" t="n"/>
      <c r="J22" s="7" t="n">
        <v>23</v>
      </c>
      <c r="K22" s="10">
        <f>I22*(1+J22/100)</f>
        <v/>
      </c>
      <c r="L22" s="11" t="inlineStr">
        <is>
          <t>Polsko</t>
        </is>
      </c>
      <c r="M22" s="12" t="n"/>
      <c r="N22" s="13" t="n"/>
      <c r="O22" s="13" t="n"/>
      <c r="P22" s="12" t="n"/>
    </row>
    <row r="23">
      <c r="A23" s="4" t="inlineStr">
        <is>
          <t>1015002</t>
        </is>
      </c>
      <c r="B23" s="5" t="inlineStr">
        <is>
          <t>SIDOLUX Eco na okna a zrcadla 500 ml</t>
        </is>
      </c>
      <c r="C23" s="4" t="inlineStr">
        <is>
          <t>5902986211041</t>
        </is>
      </c>
      <c r="D23" s="5" t="inlineStr">
        <is>
          <t>Sidolux ECO</t>
        </is>
      </c>
      <c r="E23" s="4" t="inlineStr">
        <is>
          <t>500ml</t>
        </is>
      </c>
      <c r="F23" s="6" t="n"/>
      <c r="G23" s="7" t="n">
        <v>21</v>
      </c>
      <c r="H23" s="8">
        <f>F23*(1+G23/100)</f>
        <v/>
      </c>
      <c r="I23" s="9" t="n"/>
      <c r="J23" s="7" t="n">
        <v>23</v>
      </c>
      <c r="K23" s="10">
        <f>I23*(1+J23/100)</f>
        <v/>
      </c>
      <c r="L23" s="11" t="inlineStr">
        <is>
          <t>Polsko</t>
        </is>
      </c>
      <c r="M23" s="12" t="n"/>
      <c r="N23" s="13" t="n"/>
      <c r="O23" s="13" t="n"/>
      <c r="P23" s="12" t="n"/>
    </row>
    <row r="24">
      <c r="A24" s="4" t="inlineStr">
        <is>
          <t>1015003</t>
        </is>
      </c>
      <c r="B24" s="5" t="inlineStr">
        <is>
          <t>SIDOLUX Eco na toalety 750 ml</t>
        </is>
      </c>
      <c r="C24" s="4" t="inlineStr">
        <is>
          <t>5902986211027</t>
        </is>
      </c>
      <c r="D24" s="5" t="inlineStr">
        <is>
          <t>Sidolux ECO</t>
        </is>
      </c>
      <c r="E24" s="4" t="inlineStr">
        <is>
          <t>750ml</t>
        </is>
      </c>
      <c r="F24" s="6" t="n"/>
      <c r="G24" s="7" t="n">
        <v>21</v>
      </c>
      <c r="H24" s="8">
        <f>F24*(1+G24/100)</f>
        <v/>
      </c>
      <c r="I24" s="9" t="n"/>
      <c r="J24" s="7" t="n">
        <v>23</v>
      </c>
      <c r="K24" s="10">
        <f>I24*(1+J24/100)</f>
        <v/>
      </c>
      <c r="L24" s="11" t="inlineStr">
        <is>
          <t>Polsko</t>
        </is>
      </c>
      <c r="M24" s="12" t="n"/>
      <c r="N24" s="13" t="n"/>
      <c r="O24" s="13" t="n"/>
      <c r="P24" s="12" t="n"/>
    </row>
    <row r="25">
      <c r="A25" s="4" t="inlineStr">
        <is>
          <t>1015004</t>
        </is>
      </c>
      <c r="B25" s="5" t="inlineStr">
        <is>
          <t>SIDOLUX Eco na kuchyně 500 ml</t>
        </is>
      </c>
      <c r="C25" s="4" t="inlineStr">
        <is>
          <t>5902986211003</t>
        </is>
      </c>
      <c r="D25" s="5" t="inlineStr">
        <is>
          <t>Sidolux ECO</t>
        </is>
      </c>
      <c r="E25" s="4" t="inlineStr">
        <is>
          <t>500ml</t>
        </is>
      </c>
      <c r="F25" s="6" t="n"/>
      <c r="G25" s="7" t="n">
        <v>21</v>
      </c>
      <c r="H25" s="8">
        <f>F25*(1+G25/100)</f>
        <v/>
      </c>
      <c r="I25" s="9" t="n"/>
      <c r="J25" s="7" t="n">
        <v>23</v>
      </c>
      <c r="K25" s="10">
        <f>I25*(1+J25/100)</f>
        <v/>
      </c>
      <c r="L25" s="11" t="inlineStr">
        <is>
          <t>Polsko</t>
        </is>
      </c>
      <c r="M25" s="12" t="n"/>
      <c r="N25" s="13" t="n"/>
      <c r="O25" s="13" t="n"/>
      <c r="P25" s="12" t="n"/>
    </row>
    <row r="26">
      <c r="A26" s="4" t="inlineStr">
        <is>
          <t>1015005</t>
        </is>
      </c>
      <c r="B26" s="5" t="inlineStr">
        <is>
          <t>SIDOLUX Eco na koupelny 500 ml</t>
        </is>
      </c>
      <c r="C26" s="4" t="inlineStr">
        <is>
          <t>5902986210983</t>
        </is>
      </c>
      <c r="D26" s="5" t="inlineStr">
        <is>
          <t>Sidolux ECO</t>
        </is>
      </c>
      <c r="E26" s="4" t="inlineStr">
        <is>
          <t>500ml</t>
        </is>
      </c>
      <c r="F26" s="6" t="n"/>
      <c r="G26" s="7" t="n">
        <v>21</v>
      </c>
      <c r="H26" s="8">
        <f>F26*(1+G26/100)</f>
        <v/>
      </c>
      <c r="I26" s="9" t="n"/>
      <c r="J26" s="7" t="n">
        <v>23</v>
      </c>
      <c r="K26" s="10">
        <f>I26*(1+J26/100)</f>
        <v/>
      </c>
      <c r="L26" s="11" t="inlineStr">
        <is>
          <t>Polsko</t>
        </is>
      </c>
      <c r="M26" s="12" t="n"/>
      <c r="N26" s="13" t="n"/>
      <c r="O26" s="13" t="n"/>
      <c r="P26" s="12" t="n"/>
    </row>
    <row r="27">
      <c r="A27" s="4" t="inlineStr">
        <is>
          <t>1010101</t>
        </is>
      </c>
      <c r="B27" s="5" t="inlineStr">
        <is>
          <t>SIDOLUX Expert lesk na PVC, linolea a dlažbu 750 ml</t>
        </is>
      </c>
      <c r="C27" s="4" t="inlineStr">
        <is>
          <t>5902986200038</t>
        </is>
      </c>
      <c r="D27" s="5" t="inlineStr">
        <is>
          <t>Sidolux EXPERT</t>
        </is>
      </c>
      <c r="E27" s="4" t="inlineStr">
        <is>
          <t>750ml</t>
        </is>
      </c>
      <c r="F27" s="6" t="n"/>
      <c r="G27" s="7" t="n">
        <v>21</v>
      </c>
      <c r="H27" s="8">
        <f>F27*(1+G27/100)</f>
        <v/>
      </c>
      <c r="I27" s="9" t="n"/>
      <c r="J27" s="7" t="n">
        <v>23</v>
      </c>
      <c r="K27" s="10">
        <f>I27*(1+J27/100)</f>
        <v/>
      </c>
      <c r="L27" s="11" t="inlineStr">
        <is>
          <t>Polsko</t>
        </is>
      </c>
      <c r="M27" s="12" t="n"/>
      <c r="N27" s="13" t="n"/>
      <c r="O27" s="13" t="n"/>
      <c r="P27" s="12" t="n"/>
    </row>
    <row r="28">
      <c r="A28" s="4" t="inlineStr">
        <is>
          <t>1010104</t>
        </is>
      </c>
      <c r="B28" s="5" t="inlineStr">
        <is>
          <t>SIDOLUX Expert lesk na plovoucí a dřevěné podlahy 750 ml</t>
        </is>
      </c>
      <c r="C28" s="4" t="inlineStr">
        <is>
          <t>5902986204807</t>
        </is>
      </c>
      <c r="D28" s="5" t="inlineStr">
        <is>
          <t>Sidolux EXPERT</t>
        </is>
      </c>
      <c r="E28" s="4" t="inlineStr">
        <is>
          <t>750ml</t>
        </is>
      </c>
      <c r="F28" s="6" t="n"/>
      <c r="G28" s="7" t="n">
        <v>21</v>
      </c>
      <c r="H28" s="8">
        <f>F28*(1+G28/100)</f>
        <v/>
      </c>
      <c r="I28" s="9" t="n"/>
      <c r="J28" s="7" t="n">
        <v>23</v>
      </c>
      <c r="K28" s="10">
        <f>I28*(1+J28/100)</f>
        <v/>
      </c>
      <c r="L28" s="11" t="inlineStr">
        <is>
          <t>Polsko</t>
        </is>
      </c>
      <c r="M28" s="12" t="n"/>
      <c r="N28" s="13" t="n"/>
      <c r="O28" s="13" t="n"/>
      <c r="P28" s="12" t="n"/>
    </row>
    <row r="29">
      <c r="A29" s="4" t="inlineStr">
        <is>
          <t>1010107</t>
        </is>
      </c>
      <c r="B29" s="5" t="inlineStr">
        <is>
          <t>CLEANLUX odstraňovač lesků, olejů a barev 750 ml</t>
        </is>
      </c>
      <c r="C29" s="4" t="inlineStr">
        <is>
          <t>5902986204197</t>
        </is>
      </c>
      <c r="D29" s="5" t="inlineStr">
        <is>
          <t>Sidolux EXPERT</t>
        </is>
      </c>
      <c r="E29" s="4" t="inlineStr">
        <is>
          <t>750ml</t>
        </is>
      </c>
      <c r="F29" s="6" t="n"/>
      <c r="G29" s="7" t="n">
        <v>21</v>
      </c>
      <c r="H29" s="8">
        <f>F29*(1+G29/100)</f>
        <v/>
      </c>
      <c r="I29" s="9" t="n"/>
      <c r="J29" s="7" t="n">
        <v>23</v>
      </c>
      <c r="K29" s="10">
        <f>I29*(1+J29/100)</f>
        <v/>
      </c>
      <c r="L29" s="11" t="inlineStr">
        <is>
          <t>Polsko</t>
        </is>
      </c>
      <c r="M29" s="12" t="n"/>
      <c r="N29" s="13" t="n"/>
      <c r="O29" s="13" t="n"/>
      <c r="P29" s="12" t="n"/>
    </row>
    <row r="30">
      <c r="A30" s="4" t="inlineStr">
        <is>
          <t>1010112</t>
        </is>
      </c>
      <c r="B30" s="5" t="inlineStr">
        <is>
          <t>SIDOLUX Expert lesk na PVC, linolea a dlažbu 5000 ml</t>
        </is>
      </c>
      <c r="C30" s="4" t="inlineStr">
        <is>
          <t>5902986200571</t>
        </is>
      </c>
      <c r="D30" s="5" t="inlineStr">
        <is>
          <t>Sidolux EXPERT</t>
        </is>
      </c>
      <c r="E30" s="4" t="inlineStr">
        <is>
          <t>5000ml</t>
        </is>
      </c>
      <c r="F30" s="6" t="n"/>
      <c r="G30" s="7" t="n">
        <v>21</v>
      </c>
      <c r="H30" s="8">
        <f>F30*(1+G30/100)</f>
        <v/>
      </c>
      <c r="I30" s="9" t="n"/>
      <c r="J30" s="7" t="n">
        <v>23</v>
      </c>
      <c r="K30" s="10">
        <f>I30*(1+J30/100)</f>
        <v/>
      </c>
      <c r="L30" s="11" t="inlineStr">
        <is>
          <t>Polsko</t>
        </is>
      </c>
      <c r="M30" s="12" t="n"/>
      <c r="N30" s="13" t="n"/>
      <c r="O30" s="13" t="n"/>
      <c r="P30" s="12" t="n"/>
    </row>
    <row r="31">
      <c r="A31" s="4" t="inlineStr">
        <is>
          <t>1011002</t>
        </is>
      </c>
      <c r="B31" s="5" t="inlineStr">
        <is>
          <t>SIDOLUX Expert lesk na kámen a dlažbu 750ml</t>
        </is>
      </c>
      <c r="C31" s="4" t="inlineStr">
        <is>
          <t>5902986210792</t>
        </is>
      </c>
      <c r="D31" s="5" t="inlineStr">
        <is>
          <t>Sidolux EXPERT</t>
        </is>
      </c>
      <c r="E31" s="4" t="inlineStr">
        <is>
          <t>750ml</t>
        </is>
      </c>
      <c r="F31" s="6" t="n"/>
      <c r="G31" s="7" t="n">
        <v>21</v>
      </c>
      <c r="H31" s="8">
        <f>F31*(1+G31/100)</f>
        <v/>
      </c>
      <c r="I31" s="9" t="n"/>
      <c r="J31" s="7" t="n">
        <v>23</v>
      </c>
      <c r="K31" s="10">
        <f>I31*(1+J31/100)</f>
        <v/>
      </c>
      <c r="L31" s="11" t="inlineStr">
        <is>
          <t>Polsko</t>
        </is>
      </c>
      <c r="M31" s="12" t="n"/>
      <c r="N31" s="13" t="n"/>
      <c r="O31" s="13" t="n"/>
      <c r="P31" s="12" t="n"/>
    </row>
    <row r="32">
      <c r="A32" s="4" t="inlineStr">
        <is>
          <t>1011004</t>
        </is>
      </c>
      <c r="B32" s="5" t="inlineStr">
        <is>
          <t>SIDOLUX Expert lesk na kámen a dlažbu 5000 ml</t>
        </is>
      </c>
      <c r="C32" s="4" t="inlineStr">
        <is>
          <t>5902986202025</t>
        </is>
      </c>
      <c r="D32" s="5" t="inlineStr">
        <is>
          <t>Sidolux EXPERT</t>
        </is>
      </c>
      <c r="E32" s="4" t="inlineStr">
        <is>
          <t>5000ml</t>
        </is>
      </c>
      <c r="F32" s="6" t="n"/>
      <c r="G32" s="7" t="n">
        <v>21</v>
      </c>
      <c r="H32" s="8">
        <f>F32*(1+G32/100)</f>
        <v/>
      </c>
      <c r="I32" s="9" t="n"/>
      <c r="J32" s="7" t="n">
        <v>23</v>
      </c>
      <c r="K32" s="10">
        <f>I32*(1+J32/100)</f>
        <v/>
      </c>
      <c r="L32" s="11" t="inlineStr">
        <is>
          <t>Polsko</t>
        </is>
      </c>
      <c r="M32" s="12" t="n"/>
      <c r="N32" s="13" t="n"/>
      <c r="O32" s="13" t="n"/>
      <c r="P32" s="12" t="n"/>
    </row>
    <row r="33">
      <c r="A33" s="4" t="inlineStr">
        <is>
          <t>1011501</t>
        </is>
      </c>
      <c r="B33" s="5" t="inlineStr">
        <is>
          <t>SIDOLUX Nábytek renovace Mandle 300 ml</t>
        </is>
      </c>
      <c r="C33" s="4" t="inlineStr">
        <is>
          <t>5902986261107</t>
        </is>
      </c>
      <c r="D33" s="5" t="inlineStr">
        <is>
          <t>Sidolux M péče o nábytek</t>
        </is>
      </c>
      <c r="E33" s="4" t="inlineStr">
        <is>
          <t>300ml</t>
        </is>
      </c>
      <c r="F33" s="6" t="n"/>
      <c r="G33" s="7" t="n">
        <v>21</v>
      </c>
      <c r="H33" s="8">
        <f>F33*(1+G33/100)</f>
        <v/>
      </c>
      <c r="I33" s="9" t="n"/>
      <c r="J33" s="7" t="n">
        <v>23</v>
      </c>
      <c r="K33" s="10">
        <f>I33*(1+J33/100)</f>
        <v/>
      </c>
      <c r="L33" s="11" t="inlineStr">
        <is>
          <t>Polsko</t>
        </is>
      </c>
      <c r="M33" s="12" t="n"/>
      <c r="N33" s="13" t="n"/>
      <c r="O33" s="13" t="n"/>
      <c r="P33" s="12" t="n"/>
    </row>
    <row r="34">
      <c r="A34" s="4" t="inlineStr">
        <is>
          <t>1011502</t>
        </is>
      </c>
      <c r="B34" s="5" t="inlineStr">
        <is>
          <t>SIDOLUX Nábytek sprej Aloe 350 ml</t>
        </is>
      </c>
      <c r="C34" s="4" t="inlineStr">
        <is>
          <t>5902986212260</t>
        </is>
      </c>
      <c r="D34" s="5" t="inlineStr">
        <is>
          <t>Sidolux M péče o nábytek</t>
        </is>
      </c>
      <c r="E34" s="4" t="inlineStr">
        <is>
          <t>350ml</t>
        </is>
      </c>
      <c r="F34" s="6" t="n"/>
      <c r="G34" s="7" t="n">
        <v>21</v>
      </c>
      <c r="H34" s="8">
        <f>F34*(1+G34/100)</f>
        <v/>
      </c>
      <c r="I34" s="9" t="n"/>
      <c r="J34" s="7" t="n">
        <v>23</v>
      </c>
      <c r="K34" s="10">
        <f>I34*(1+J34/100)</f>
        <v/>
      </c>
      <c r="L34" s="11" t="inlineStr">
        <is>
          <t>Polsko</t>
        </is>
      </c>
      <c r="M34" s="12" t="n"/>
      <c r="N34" s="13" t="n"/>
      <c r="O34" s="13" t="n"/>
      <c r="P34" s="12" t="n"/>
    </row>
    <row r="35">
      <c r="A35" s="4" t="inlineStr">
        <is>
          <t>1011503</t>
        </is>
      </c>
      <c r="B35" s="5" t="inlineStr">
        <is>
          <t>SIDOLUX Nábytek sprej Mandle 350 ml</t>
        </is>
      </c>
      <c r="C35" s="4" t="inlineStr">
        <is>
          <t>5902986212284</t>
        </is>
      </c>
      <c r="D35" s="5" t="inlineStr">
        <is>
          <t>Sidolux M péče o nábytek</t>
        </is>
      </c>
      <c r="E35" s="4" t="inlineStr">
        <is>
          <t>350ml</t>
        </is>
      </c>
      <c r="F35" s="6" t="n"/>
      <c r="G35" s="7" t="n">
        <v>21</v>
      </c>
      <c r="H35" s="8">
        <f>F35*(1+G35/100)</f>
        <v/>
      </c>
      <c r="I35" s="9" t="n"/>
      <c r="J35" s="7" t="n">
        <v>23</v>
      </c>
      <c r="K35" s="10">
        <f>I35*(1+J35/100)</f>
        <v/>
      </c>
      <c r="L35" s="11" t="inlineStr">
        <is>
          <t>Polsko</t>
        </is>
      </c>
      <c r="M35" s="12" t="n"/>
      <c r="N35" s="13" t="n"/>
      <c r="O35" s="13" t="n"/>
      <c r="P35" s="12" t="n"/>
    </row>
    <row r="36">
      <c r="A36" s="4" t="inlineStr">
        <is>
          <t>1011508</t>
        </is>
      </c>
      <c r="B36" s="5" t="inlineStr">
        <is>
          <t>SIDOLUX Nábytek rozprašovač Classic 400 ml</t>
        </is>
      </c>
      <c r="C36" s="4" t="inlineStr">
        <is>
          <t>5902986201905</t>
        </is>
      </c>
      <c r="D36" s="5" t="inlineStr">
        <is>
          <t>Sidolux M péče o nábytek</t>
        </is>
      </c>
      <c r="E36" s="4" t="inlineStr">
        <is>
          <t>400ml</t>
        </is>
      </c>
      <c r="F36" s="6" t="n"/>
      <c r="G36" s="7" t="n">
        <v>21</v>
      </c>
      <c r="H36" s="8">
        <f>F36*(1+G36/100)</f>
        <v/>
      </c>
      <c r="I36" s="9" t="n"/>
      <c r="J36" s="7" t="n">
        <v>23</v>
      </c>
      <c r="K36" s="10">
        <f>I36*(1+J36/100)</f>
        <v/>
      </c>
      <c r="L36" s="11" t="inlineStr">
        <is>
          <t>Polsko</t>
        </is>
      </c>
      <c r="M36" s="12" t="n"/>
      <c r="N36" s="13" t="n"/>
      <c r="O36" s="13" t="n"/>
      <c r="P36" s="12" t="n"/>
    </row>
    <row r="37">
      <c r="A37" s="4" t="inlineStr">
        <is>
          <t>1011509</t>
        </is>
      </c>
      <c r="B37" s="5" t="inlineStr">
        <is>
          <t>SIDOLUX Nábytek rozprašovač Pepper &amp; cardamon 400 ml</t>
        </is>
      </c>
      <c r="C37" s="4" t="inlineStr">
        <is>
          <t>5902986222207</t>
        </is>
      </c>
      <c r="D37" s="5" t="inlineStr">
        <is>
          <t>Sidolux M péče o nábytek</t>
        </is>
      </c>
      <c r="E37" s="4" t="inlineStr">
        <is>
          <t>400ml</t>
        </is>
      </c>
      <c r="F37" s="6" t="n"/>
      <c r="G37" s="7" t="n">
        <v>21</v>
      </c>
      <c r="H37" s="8">
        <f>F37*(1+G37/100)</f>
        <v/>
      </c>
      <c r="I37" s="9" t="n"/>
      <c r="J37" s="7" t="n">
        <v>23</v>
      </c>
      <c r="K37" s="10">
        <f>I37*(1+J37/100)</f>
        <v/>
      </c>
      <c r="L37" s="11" t="inlineStr">
        <is>
          <t>Polsko</t>
        </is>
      </c>
      <c r="M37" s="12" t="n"/>
      <c r="N37" s="13" t="n"/>
      <c r="O37" s="13" t="n"/>
      <c r="P37" s="12" t="n"/>
    </row>
    <row r="38">
      <c r="A38" s="4" t="inlineStr">
        <is>
          <t>1011510</t>
        </is>
      </c>
      <c r="B38" s="5" t="inlineStr">
        <is>
          <t>SIDOLUX Nábytek rozprašovač Magnolia 400 ml</t>
        </is>
      </c>
      <c r="C38" s="4" t="inlineStr">
        <is>
          <t>5902986210068</t>
        </is>
      </c>
      <c r="D38" s="5" t="inlineStr">
        <is>
          <t>Sidolux M péče o nábytek</t>
        </is>
      </c>
      <c r="E38" s="4" t="inlineStr">
        <is>
          <t>400ml</t>
        </is>
      </c>
      <c r="F38" s="6" t="n"/>
      <c r="G38" s="7" t="n">
        <v>21</v>
      </c>
      <c r="H38" s="8">
        <f>F38*(1+G38/100)</f>
        <v/>
      </c>
      <c r="I38" s="9" t="n"/>
      <c r="J38" s="7" t="n">
        <v>23</v>
      </c>
      <c r="K38" s="10">
        <f>I38*(1+J38/100)</f>
        <v/>
      </c>
      <c r="L38" s="11" t="inlineStr">
        <is>
          <t>Polsko</t>
        </is>
      </c>
      <c r="M38" s="12" t="n"/>
      <c r="N38" s="13" t="n"/>
      <c r="O38" s="13" t="n"/>
      <c r="P38" s="12" t="n"/>
    </row>
    <row r="39">
      <c r="A39" s="4" t="inlineStr">
        <is>
          <t>1011511</t>
        </is>
      </c>
      <c r="B39" s="5" t="inlineStr">
        <is>
          <t>SIDOLUX Nábytek rozprašovač Mandle 400 ml</t>
        </is>
      </c>
      <c r="C39" s="4" t="inlineStr">
        <is>
          <t>5902986212062</t>
        </is>
      </c>
      <c r="D39" s="5" t="inlineStr">
        <is>
          <t>Sidolux M péče o nábytek</t>
        </is>
      </c>
      <c r="E39" s="4" t="inlineStr">
        <is>
          <t>400ml</t>
        </is>
      </c>
      <c r="F39" s="6" t="n"/>
      <c r="G39" s="7" t="n">
        <v>21</v>
      </c>
      <c r="H39" s="8">
        <f>F39*(1+G39/100)</f>
        <v/>
      </c>
      <c r="I39" s="9" t="n"/>
      <c r="J39" s="7" t="n">
        <v>23</v>
      </c>
      <c r="K39" s="10">
        <f>I39*(1+J39/100)</f>
        <v/>
      </c>
      <c r="L39" s="11" t="inlineStr">
        <is>
          <t>Polsko</t>
        </is>
      </c>
      <c r="M39" s="12" t="n"/>
      <c r="N39" s="13" t="n"/>
      <c r="O39" s="13" t="n"/>
      <c r="P39" s="12" t="n"/>
    </row>
    <row r="40">
      <c r="A40" s="4" t="inlineStr">
        <is>
          <t>1011512</t>
        </is>
      </c>
      <c r="B40" s="5" t="inlineStr">
        <is>
          <t>SIDOLUX Nábytek rozprašovač Aloe 400 ml</t>
        </is>
      </c>
      <c r="C40" s="4" t="inlineStr">
        <is>
          <t>5902986207310</t>
        </is>
      </c>
      <c r="D40" s="5" t="inlineStr">
        <is>
          <t>Sidolux M péče o nábytek</t>
        </is>
      </c>
      <c r="E40" s="4" t="inlineStr">
        <is>
          <t>400ml</t>
        </is>
      </c>
      <c r="F40" s="6" t="n"/>
      <c r="G40" s="7" t="n">
        <v>21</v>
      </c>
      <c r="H40" s="8">
        <f>F40*(1+G40/100)</f>
        <v/>
      </c>
      <c r="I40" s="9" t="n"/>
      <c r="J40" s="7" t="n">
        <v>23</v>
      </c>
      <c r="K40" s="10">
        <f>I40*(1+J40/100)</f>
        <v/>
      </c>
      <c r="L40" s="11" t="inlineStr">
        <is>
          <t>Polsko</t>
        </is>
      </c>
      <c r="M40" s="12" t="n"/>
      <c r="N40" s="13" t="n"/>
      <c r="O40" s="13" t="n"/>
      <c r="P40" s="12" t="n"/>
    </row>
    <row r="41">
      <c r="A41" s="4" t="inlineStr">
        <is>
          <t>1011515</t>
        </is>
      </c>
      <c r="B41" s="5" t="inlineStr">
        <is>
          <t>SIDOLUX Nábytek rozprašovač Baltic Amber 400 ml</t>
        </is>
      </c>
      <c r="C41" s="4" t="inlineStr">
        <is>
          <t>5902986292514</t>
        </is>
      </c>
      <c r="D41" s="5" t="inlineStr">
        <is>
          <t>Sidolux M péče o nábytek</t>
        </is>
      </c>
      <c r="E41" s="4" t="inlineStr">
        <is>
          <t>400ml</t>
        </is>
      </c>
      <c r="F41" s="6" t="n"/>
      <c r="G41" s="7" t="n">
        <v>21</v>
      </c>
      <c r="H41" s="8">
        <f>F41*(1+G41/100)</f>
        <v/>
      </c>
      <c r="I41" s="9" t="n"/>
      <c r="J41" s="7" t="n">
        <v>23</v>
      </c>
      <c r="K41" s="10">
        <f>I41*(1+J41/100)</f>
        <v/>
      </c>
      <c r="L41" s="11" t="inlineStr">
        <is>
          <t>Polsko</t>
        </is>
      </c>
      <c r="M41" s="12" t="n"/>
      <c r="N41" s="13" t="n"/>
      <c r="O41" s="13" t="n"/>
      <c r="P41" s="12" t="n"/>
    </row>
    <row r="42">
      <c r="A42" s="4" t="inlineStr">
        <is>
          <t>1011516</t>
        </is>
      </c>
      <c r="B42" s="5" t="inlineStr">
        <is>
          <t>SIDOLUX Nábytek rozprašovač Marseille soap lavender 400 ml</t>
        </is>
      </c>
      <c r="C42" s="4" t="inlineStr">
        <is>
          <t>5902986292859</t>
        </is>
      </c>
      <c r="D42" s="5" t="inlineStr">
        <is>
          <t>Sidolux M péče o nábytek</t>
        </is>
      </c>
      <c r="E42" s="4" t="inlineStr">
        <is>
          <t>400ml</t>
        </is>
      </c>
      <c r="F42" s="6" t="n"/>
      <c r="G42" s="7" t="n">
        <v>21</v>
      </c>
      <c r="H42" s="8">
        <f>F42*(1+G42/100)</f>
        <v/>
      </c>
      <c r="I42" s="9" t="n"/>
      <c r="J42" s="7" t="n">
        <v>23</v>
      </c>
      <c r="K42" s="10">
        <f>I42*(1+J42/100)</f>
        <v/>
      </c>
      <c r="L42" s="11" t="inlineStr">
        <is>
          <t>Polsko</t>
        </is>
      </c>
      <c r="M42" s="12" t="n"/>
      <c r="N42" s="13" t="n"/>
      <c r="O42" s="13" t="n"/>
      <c r="P42" s="12" t="n"/>
    </row>
    <row r="43">
      <c r="A43" s="4" t="inlineStr">
        <is>
          <t>1011517</t>
        </is>
      </c>
      <c r="B43" s="5" t="inlineStr">
        <is>
          <t>SIDOLUX Nábytek rozprašovač Japanese cherry 400 ml</t>
        </is>
      </c>
      <c r="C43" s="4" t="inlineStr">
        <is>
          <t>5902986216176</t>
        </is>
      </c>
      <c r="D43" s="5" t="inlineStr">
        <is>
          <t>Sidolux M péče o nábytek</t>
        </is>
      </c>
      <c r="E43" s="4" t="inlineStr"/>
      <c r="F43" s="6" t="n"/>
      <c r="G43" s="7" t="n">
        <v>21</v>
      </c>
      <c r="H43" s="8">
        <f>F43*(1+G43/100)</f>
        <v/>
      </c>
      <c r="I43" s="9" t="n"/>
      <c r="J43" s="7" t="n">
        <v>23</v>
      </c>
      <c r="K43" s="10">
        <f>I43*(1+J43/100)</f>
        <v/>
      </c>
      <c r="L43" s="11" t="inlineStr">
        <is>
          <t>Polsko</t>
        </is>
      </c>
      <c r="M43" s="12" t="n"/>
      <c r="N43" s="13" t="n"/>
      <c r="O43" s="13" t="n"/>
      <c r="P43" s="12" t="n"/>
    </row>
    <row r="44">
      <c r="A44" s="4" t="inlineStr">
        <is>
          <t>1011518</t>
        </is>
      </c>
      <c r="B44" s="5" t="inlineStr">
        <is>
          <t>SIDOLUX Nábytek rychločistič kůže 200 ml</t>
        </is>
      </c>
      <c r="C44" s="4" t="inlineStr">
        <is>
          <t>5902986204609</t>
        </is>
      </c>
      <c r="D44" s="5" t="inlineStr">
        <is>
          <t>Sidolux M péče o nábytek</t>
        </is>
      </c>
      <c r="E44" s="4" t="inlineStr">
        <is>
          <t>200ml</t>
        </is>
      </c>
      <c r="F44" s="6" t="n"/>
      <c r="G44" s="7" t="n">
        <v>21</v>
      </c>
      <c r="H44" s="8">
        <f>F44*(1+G44/100)</f>
        <v/>
      </c>
      <c r="I44" s="9" t="n"/>
      <c r="J44" s="7" t="n">
        <v>23</v>
      </c>
      <c r="K44" s="10">
        <f>I44*(1+J44/100)</f>
        <v/>
      </c>
      <c r="L44" s="11" t="inlineStr">
        <is>
          <t>Polsko</t>
        </is>
      </c>
      <c r="M44" s="12" t="n"/>
      <c r="N44" s="13" t="n"/>
      <c r="O44" s="13" t="n"/>
      <c r="P44" s="12" t="n"/>
    </row>
    <row r="45">
      <c r="A45" s="4" t="inlineStr">
        <is>
          <t>1010136</t>
        </is>
      </c>
      <c r="B45" s="5" t="inlineStr">
        <is>
          <t>SIDOLUX Expert Vinyl a linoleum Marseille soap 750 ml</t>
        </is>
      </c>
      <c r="C45" s="4" t="inlineStr">
        <is>
          <t>5902986240225</t>
        </is>
      </c>
      <c r="D45" s="5" t="inlineStr">
        <is>
          <t>Sidolux PREMIUM FLOOR CARE</t>
        </is>
      </c>
      <c r="E45" s="4" t="inlineStr">
        <is>
          <t>750ml</t>
        </is>
      </c>
      <c r="F45" s="6" t="n"/>
      <c r="G45" s="7" t="n">
        <v>21</v>
      </c>
      <c r="H45" s="8">
        <f>F45*(1+G45/100)</f>
        <v/>
      </c>
      <c r="I45" s="9" t="n"/>
      <c r="J45" s="7" t="n">
        <v>23</v>
      </c>
      <c r="K45" s="10">
        <f>I45*(1+J45/100)</f>
        <v/>
      </c>
      <c r="L45" s="11" t="inlineStr">
        <is>
          <t>Polsko</t>
        </is>
      </c>
      <c r="M45" s="12" t="n"/>
      <c r="N45" s="13" t="n"/>
      <c r="O45" s="13" t="n"/>
      <c r="P45" s="12" t="n"/>
    </row>
    <row r="46">
      <c r="A46" s="4" t="inlineStr">
        <is>
          <t>1010137</t>
        </is>
      </c>
      <c r="B46" s="5" t="inlineStr">
        <is>
          <t>SIDOLUX Expert Vinyl a linoleum Coco mint 750 ml</t>
        </is>
      </c>
      <c r="C46" s="4" t="inlineStr">
        <is>
          <t>5902986261725</t>
        </is>
      </c>
      <c r="D46" s="5" t="inlineStr">
        <is>
          <t>Sidolux PREMIUM FLOOR CARE</t>
        </is>
      </c>
      <c r="E46" s="4" t="inlineStr">
        <is>
          <t>750ml</t>
        </is>
      </c>
      <c r="F46" s="6" t="n"/>
      <c r="G46" s="7" t="n">
        <v>21</v>
      </c>
      <c r="H46" s="8">
        <f>F46*(1+G46/100)</f>
        <v/>
      </c>
      <c r="I46" s="9" t="n"/>
      <c r="J46" s="7" t="n">
        <v>23</v>
      </c>
      <c r="K46" s="10">
        <f>I46*(1+J46/100)</f>
        <v/>
      </c>
      <c r="L46" s="11" t="inlineStr">
        <is>
          <t>Polsko</t>
        </is>
      </c>
      <c r="M46" s="12" t="n"/>
      <c r="N46" s="13" t="n"/>
      <c r="O46" s="13" t="n"/>
      <c r="P46" s="12" t="n"/>
    </row>
    <row r="47">
      <c r="A47" s="4" t="inlineStr">
        <is>
          <t>1010139</t>
        </is>
      </c>
      <c r="B47" s="5" t="inlineStr">
        <is>
          <t>SIDOLUX Expert Dřevo a laminát Argan 750 ml</t>
        </is>
      </c>
      <c r="C47" s="4" t="inlineStr">
        <is>
          <t>5902986201646</t>
        </is>
      </c>
      <c r="D47" s="5" t="inlineStr">
        <is>
          <t>Sidolux PREMIUM FLOOR CARE</t>
        </is>
      </c>
      <c r="E47" s="4" t="inlineStr">
        <is>
          <t>750ml</t>
        </is>
      </c>
      <c r="F47" s="6" t="n"/>
      <c r="G47" s="7" t="n">
        <v>21</v>
      </c>
      <c r="H47" s="8">
        <f>F47*(1+G47/100)</f>
        <v/>
      </c>
      <c r="I47" s="9" t="n"/>
      <c r="J47" s="7" t="n">
        <v>23</v>
      </c>
      <c r="K47" s="10">
        <f>I47*(1+J47/100)</f>
        <v/>
      </c>
      <c r="L47" s="11" t="inlineStr">
        <is>
          <t>Polsko</t>
        </is>
      </c>
      <c r="M47" s="12" t="n"/>
      <c r="N47" s="13" t="n"/>
      <c r="O47" s="13" t="n"/>
      <c r="P47" s="12" t="n"/>
    </row>
    <row r="48">
      <c r="A48" s="4" t="inlineStr">
        <is>
          <t>1010142</t>
        </is>
      </c>
      <c r="B48" s="5" t="inlineStr">
        <is>
          <t>SIDOLUX Expert Vinyl a linoleum Ylang ylang 750 ml</t>
        </is>
      </c>
      <c r="C48" s="4" t="inlineStr">
        <is>
          <t>5902986247064</t>
        </is>
      </c>
      <c r="D48" s="5" t="inlineStr">
        <is>
          <t>Sidolux PREMIUM FLOOR CARE</t>
        </is>
      </c>
      <c r="E48" s="4" t="inlineStr">
        <is>
          <t>750ml</t>
        </is>
      </c>
      <c r="F48" s="6" t="n"/>
      <c r="G48" s="7" t="n">
        <v>21</v>
      </c>
      <c r="H48" s="8">
        <f>F48*(1+G48/100)</f>
        <v/>
      </c>
      <c r="I48" s="9" t="n"/>
      <c r="J48" s="7" t="n">
        <v>23</v>
      </c>
      <c r="K48" s="10">
        <f>I48*(1+J48/100)</f>
        <v/>
      </c>
      <c r="L48" s="11" t="inlineStr">
        <is>
          <t>Polsko</t>
        </is>
      </c>
      <c r="M48" s="12" t="n"/>
      <c r="N48" s="13" t="n"/>
      <c r="O48" s="13" t="n"/>
      <c r="P48" s="12" t="n"/>
    </row>
    <row r="49">
      <c r="A49" s="4" t="inlineStr">
        <is>
          <t>1010143</t>
        </is>
      </c>
      <c r="B49" s="5" t="inlineStr">
        <is>
          <t>SIDOLUX Expert Vinyl a linoleum Marseille soap lavender 750 ml</t>
        </is>
      </c>
      <c r="C49" s="4" t="inlineStr">
        <is>
          <t>5902986292873</t>
        </is>
      </c>
      <c r="D49" s="5" t="inlineStr">
        <is>
          <t>Sidolux PREMIUM FLOOR CARE</t>
        </is>
      </c>
      <c r="E49" s="4" t="inlineStr">
        <is>
          <t>750ml</t>
        </is>
      </c>
      <c r="F49" s="6" t="n"/>
      <c r="G49" s="7" t="n">
        <v>21</v>
      </c>
      <c r="H49" s="8">
        <f>F49*(1+G49/100)</f>
        <v/>
      </c>
      <c r="I49" s="9" t="n"/>
      <c r="J49" s="7" t="n">
        <v>23</v>
      </c>
      <c r="K49" s="10">
        <f>I49*(1+J49/100)</f>
        <v/>
      </c>
      <c r="L49" s="11" t="inlineStr">
        <is>
          <t>Polsko</t>
        </is>
      </c>
      <c r="M49" s="12" t="n"/>
      <c r="N49" s="13" t="n"/>
      <c r="O49" s="13" t="n"/>
      <c r="P49" s="12" t="n"/>
    </row>
    <row r="50">
      <c r="A50" s="4" t="inlineStr">
        <is>
          <t>1010150</t>
        </is>
      </c>
      <c r="B50" s="5" t="inlineStr">
        <is>
          <t>SIDOLUX Expert Dřevo a laminát Orange 1000 ml</t>
        </is>
      </c>
      <c r="C50" s="4" t="inlineStr">
        <is>
          <t>5902986222023</t>
        </is>
      </c>
      <c r="D50" s="5" t="inlineStr">
        <is>
          <t>Sidolux PREMIUM FLOOR CARE</t>
        </is>
      </c>
      <c r="E50" s="4" t="inlineStr">
        <is>
          <t>1000ml</t>
        </is>
      </c>
      <c r="F50" s="6" t="n"/>
      <c r="G50" s="7" t="n">
        <v>21</v>
      </c>
      <c r="H50" s="8">
        <f>F50*(1+G50/100)</f>
        <v/>
      </c>
      <c r="I50" s="9" t="n"/>
      <c r="J50" s="7" t="n">
        <v>23</v>
      </c>
      <c r="K50" s="10">
        <f>I50*(1+J50/100)</f>
        <v/>
      </c>
      <c r="L50" s="11" t="inlineStr">
        <is>
          <t>Polsko</t>
        </is>
      </c>
      <c r="M50" s="12" t="n"/>
      <c r="N50" s="13" t="n"/>
      <c r="O50" s="13" t="n"/>
      <c r="P50" s="12" t="n"/>
    </row>
    <row r="51">
      <c r="A51" s="4" t="inlineStr">
        <is>
          <t>1010151</t>
        </is>
      </c>
      <c r="B51" s="5" t="inlineStr">
        <is>
          <t>SIDOLUX PREMIUM FLOOR CARE DŘEVĚNÉ A LAMIN PODLAH S ARGAN OLEJEM 0.75L+0,25L ZDARMA</t>
        </is>
      </c>
      <c r="C51" s="4" t="inlineStr">
        <is>
          <t>5902986222061</t>
        </is>
      </c>
      <c r="D51" s="5" t="inlineStr">
        <is>
          <t>Sidolux PREMIUM FLOOR CARE</t>
        </is>
      </c>
      <c r="E51" s="4" t="inlineStr">
        <is>
          <t>1000ml</t>
        </is>
      </c>
      <c r="F51" s="6" t="n"/>
      <c r="G51" s="7" t="n">
        <v>21</v>
      </c>
      <c r="H51" s="8">
        <f>F51*(1+G51/100)</f>
        <v/>
      </c>
      <c r="I51" s="9" t="n"/>
      <c r="J51" s="7" t="n">
        <v>23</v>
      </c>
      <c r="K51" s="10">
        <f>I51*(1+J51/100)</f>
        <v/>
      </c>
      <c r="L51" s="11" t="inlineStr">
        <is>
          <t>Polsko</t>
        </is>
      </c>
      <c r="M51" s="12" t="n"/>
      <c r="N51" s="13" t="n"/>
      <c r="O51" s="13" t="n"/>
      <c r="P51" s="12" t="n"/>
    </row>
    <row r="52">
      <c r="A52" s="4" t="inlineStr">
        <is>
          <t>1010154</t>
        </is>
      </c>
      <c r="B52" s="5" t="inlineStr">
        <is>
          <t>SIDOLUX Expert Vinyl a linoleum Ylang ylang 1000 ml</t>
        </is>
      </c>
      <c r="C52" s="4" t="inlineStr">
        <is>
          <t>5902986222108</t>
        </is>
      </c>
      <c r="D52" s="5" t="inlineStr">
        <is>
          <t>Sidolux PREMIUM FLOOR CARE</t>
        </is>
      </c>
      <c r="E52" s="4" t="inlineStr">
        <is>
          <t>1000ml</t>
        </is>
      </c>
      <c r="F52" s="6" t="n"/>
      <c r="G52" s="7" t="n">
        <v>21</v>
      </c>
      <c r="H52" s="8">
        <f>F52*(1+G52/100)</f>
        <v/>
      </c>
      <c r="I52" s="9" t="n"/>
      <c r="J52" s="7" t="n">
        <v>23</v>
      </c>
      <c r="K52" s="10">
        <f>I52*(1+J52/100)</f>
        <v/>
      </c>
      <c r="L52" s="11" t="inlineStr">
        <is>
          <t>Polsko</t>
        </is>
      </c>
      <c r="M52" s="12" t="n"/>
      <c r="N52" s="13" t="n"/>
      <c r="O52" s="13" t="n"/>
      <c r="P52" s="12" t="n"/>
    </row>
    <row r="53">
      <c r="A53" s="4" t="inlineStr">
        <is>
          <t>1010156</t>
        </is>
      </c>
      <c r="B53" s="5" t="inlineStr">
        <is>
          <t>SIDOLUX Expert Dřevo a laminát Argan 5000 ml</t>
        </is>
      </c>
      <c r="C53" s="4" t="inlineStr">
        <is>
          <t>5902986210372</t>
        </is>
      </c>
      <c r="D53" s="5" t="inlineStr">
        <is>
          <t>Sidolux PREMIUM FLOOR CARE</t>
        </is>
      </c>
      <c r="E53" s="4" t="inlineStr">
        <is>
          <t>5000ml</t>
        </is>
      </c>
      <c r="F53" s="6" t="n"/>
      <c r="G53" s="7" t="n">
        <v>21</v>
      </c>
      <c r="H53" s="8">
        <f>F53*(1+G53/100)</f>
        <v/>
      </c>
      <c r="I53" s="9" t="n"/>
      <c r="J53" s="7" t="n">
        <v>23</v>
      </c>
      <c r="K53" s="10">
        <f>I53*(1+J53/100)</f>
        <v/>
      </c>
      <c r="L53" s="11" t="inlineStr">
        <is>
          <t>Polsko</t>
        </is>
      </c>
      <c r="M53" s="12" t="n"/>
      <c r="N53" s="13" t="n"/>
      <c r="O53" s="13" t="n"/>
      <c r="P53" s="12" t="n"/>
    </row>
    <row r="54">
      <c r="A54" s="4" t="inlineStr">
        <is>
          <t>1010159</t>
        </is>
      </c>
      <c r="B54" s="5" t="inlineStr">
        <is>
          <t>SIDOLUX Expert Vinyl a linoleum Ylang ylang 5000 ml</t>
        </is>
      </c>
      <c r="C54" s="4" t="inlineStr">
        <is>
          <t>5902986210396</t>
        </is>
      </c>
      <c r="D54" s="5" t="inlineStr">
        <is>
          <t>Sidolux PREMIUM FLOOR CARE</t>
        </is>
      </c>
      <c r="E54" s="4" t="inlineStr">
        <is>
          <t>5000ml</t>
        </is>
      </c>
      <c r="F54" s="6" t="n"/>
      <c r="G54" s="7" t="n">
        <v>21</v>
      </c>
      <c r="H54" s="8">
        <f>F54*(1+G54/100)</f>
        <v/>
      </c>
      <c r="I54" s="9" t="n"/>
      <c r="J54" s="7" t="n">
        <v>23</v>
      </c>
      <c r="K54" s="10">
        <f>I54*(1+J54/100)</f>
        <v/>
      </c>
      <c r="L54" s="11" t="inlineStr">
        <is>
          <t>Polsko</t>
        </is>
      </c>
      <c r="M54" s="12" t="n"/>
      <c r="N54" s="13" t="n"/>
      <c r="O54" s="13" t="n"/>
      <c r="P54" s="12" t="n"/>
    </row>
    <row r="55">
      <c r="A55" s="4" t="inlineStr">
        <is>
          <t>1010160</t>
        </is>
      </c>
      <c r="B55" s="5" t="inlineStr">
        <is>
          <t>SIDOLUX Expert Vinyl a linoleum Coco mint 1000 ml</t>
        </is>
      </c>
      <c r="C55" s="4" t="inlineStr">
        <is>
          <t>5902986261749</t>
        </is>
      </c>
      <c r="D55" s="5" t="inlineStr">
        <is>
          <t>Sidolux PREMIUM FLOOR CARE</t>
        </is>
      </c>
      <c r="E55" s="4" t="inlineStr">
        <is>
          <t>1000ml</t>
        </is>
      </c>
      <c r="F55" s="6" t="n"/>
      <c r="G55" s="7" t="n">
        <v>21</v>
      </c>
      <c r="H55" s="8">
        <f>F55*(1+G55/100)</f>
        <v/>
      </c>
      <c r="I55" s="9" t="n"/>
      <c r="J55" s="7" t="n">
        <v>23</v>
      </c>
      <c r="K55" s="10">
        <f>I55*(1+J55/100)</f>
        <v/>
      </c>
      <c r="L55" s="11" t="inlineStr">
        <is>
          <t>Polsko</t>
        </is>
      </c>
      <c r="M55" s="12" t="n"/>
      <c r="N55" s="13" t="n"/>
      <c r="O55" s="13" t="n"/>
      <c r="P55" s="12" t="n"/>
    </row>
    <row r="56">
      <c r="A56" s="4" t="inlineStr">
        <is>
          <t>1010161</t>
        </is>
      </c>
      <c r="B56" s="5" t="inlineStr">
        <is>
          <t>SIDOLUX Expert Vinyl a linoleum Marseille soap 1000 ml</t>
        </is>
      </c>
      <c r="C56" s="4" t="inlineStr">
        <is>
          <t>5902986240249</t>
        </is>
      </c>
      <c r="D56" s="5" t="inlineStr">
        <is>
          <t>Sidolux PREMIUM FLOOR CARE</t>
        </is>
      </c>
      <c r="E56" s="4" t="inlineStr">
        <is>
          <t>1000ml</t>
        </is>
      </c>
      <c r="F56" s="6" t="n"/>
      <c r="G56" s="7" t="n">
        <v>21</v>
      </c>
      <c r="H56" s="8">
        <f>F56*(1+G56/100)</f>
        <v/>
      </c>
      <c r="I56" s="9" t="n"/>
      <c r="J56" s="7" t="n">
        <v>23</v>
      </c>
      <c r="K56" s="10">
        <f>I56*(1+J56/100)</f>
        <v/>
      </c>
      <c r="L56" s="11" t="inlineStr">
        <is>
          <t>Polsko</t>
        </is>
      </c>
      <c r="M56" s="12" t="n"/>
      <c r="N56" s="13" t="n"/>
      <c r="O56" s="13" t="n"/>
      <c r="P56" s="12" t="n"/>
    </row>
    <row r="57">
      <c r="A57" s="4" t="inlineStr">
        <is>
          <t>1010166</t>
        </is>
      </c>
      <c r="B57" s="5" t="inlineStr">
        <is>
          <t>SIDOLUX Expert Vinyl a linoleum Marseille soap 5000 ml</t>
        </is>
      </c>
      <c r="C57" s="4" t="inlineStr">
        <is>
          <t>5902986212994</t>
        </is>
      </c>
      <c r="D57" s="5" t="inlineStr">
        <is>
          <t>Sidolux PREMIUM FLOOR CARE</t>
        </is>
      </c>
      <c r="E57" s="4" t="inlineStr">
        <is>
          <t>5000ml</t>
        </is>
      </c>
      <c r="F57" s="6" t="n"/>
      <c r="G57" s="7" t="n">
        <v>21</v>
      </c>
      <c r="H57" s="8">
        <f>F57*(1+G57/100)</f>
        <v/>
      </c>
      <c r="I57" s="9" t="n"/>
      <c r="J57" s="7" t="n">
        <v>23</v>
      </c>
      <c r="K57" s="10">
        <f>I57*(1+J57/100)</f>
        <v/>
      </c>
      <c r="L57" s="11" t="inlineStr">
        <is>
          <t>Polsko</t>
        </is>
      </c>
      <c r="M57" s="12" t="n"/>
      <c r="N57" s="13" t="n"/>
      <c r="O57" s="13" t="n"/>
      <c r="P57" s="12" t="n"/>
    </row>
    <row r="58">
      <c r="A58" s="4" t="inlineStr">
        <is>
          <t>1010170</t>
        </is>
      </c>
      <c r="B58" s="5" t="inlineStr">
        <is>
          <t>SIDOLUX Expert Vinyl a linoleum Marseille soap 750 ml</t>
        </is>
      </c>
      <c r="C58" s="4" t="inlineStr">
        <is>
          <t>5902986218293</t>
        </is>
      </c>
      <c r="D58" s="5" t="inlineStr">
        <is>
          <t>Sidolux PREMIUM FLOOR CARE</t>
        </is>
      </c>
      <c r="E58" s="4" t="inlineStr">
        <is>
          <t>750ml</t>
        </is>
      </c>
      <c r="F58" s="6" t="n"/>
      <c r="G58" s="7" t="n">
        <v>21</v>
      </c>
      <c r="H58" s="8">
        <f>F58*(1+G58/100)</f>
        <v/>
      </c>
      <c r="I58" s="9" t="n"/>
      <c r="J58" s="7" t="n">
        <v>23</v>
      </c>
      <c r="K58" s="10">
        <f>I58*(1+J58/100)</f>
        <v/>
      </c>
      <c r="L58" s="11" t="inlineStr">
        <is>
          <t>Polsko</t>
        </is>
      </c>
      <c r="M58" s="12" t="n"/>
      <c r="N58" s="13" t="n"/>
      <c r="O58" s="13" t="n"/>
      <c r="P58" s="12" t="n"/>
    </row>
    <row r="59">
      <c r="A59" s="4" t="inlineStr">
        <is>
          <t>1010171</t>
        </is>
      </c>
      <c r="B59" s="5" t="inlineStr">
        <is>
          <t>SIDOLUX Expert Vinyl a linoleum Marseille soap lavender 750 ml</t>
        </is>
      </c>
      <c r="C59" s="4" t="inlineStr">
        <is>
          <t>5902986218316</t>
        </is>
      </c>
      <c r="D59" s="5" t="inlineStr">
        <is>
          <t>Sidolux PREMIUM FLOOR CARE</t>
        </is>
      </c>
      <c r="E59" s="4" t="inlineStr">
        <is>
          <t>750ml</t>
        </is>
      </c>
      <c r="F59" s="6" t="n"/>
      <c r="G59" s="7" t="n">
        <v>21</v>
      </c>
      <c r="H59" s="8">
        <f>F59*(1+G59/100)</f>
        <v/>
      </c>
      <c r="I59" s="9" t="n"/>
      <c r="J59" s="7" t="n">
        <v>23</v>
      </c>
      <c r="K59" s="10">
        <f>I59*(1+J59/100)</f>
        <v/>
      </c>
      <c r="L59" s="11" t="inlineStr">
        <is>
          <t>Polsko</t>
        </is>
      </c>
      <c r="M59" s="12" t="n"/>
      <c r="N59" s="13" t="n"/>
      <c r="O59" s="13" t="n"/>
      <c r="P59" s="12" t="n"/>
    </row>
    <row r="60">
      <c r="A60" s="4" t="inlineStr">
        <is>
          <t>1010172</t>
        </is>
      </c>
      <c r="B60" s="5" t="inlineStr">
        <is>
          <t>SIDOLUX Expert Vinyl a linoleum Ylang ylang 750 ml</t>
        </is>
      </c>
      <c r="C60" s="4" t="inlineStr">
        <is>
          <t>5902986218279</t>
        </is>
      </c>
      <c r="D60" s="5" t="inlineStr">
        <is>
          <t>Sidolux PREMIUM FLOOR CARE</t>
        </is>
      </c>
      <c r="E60" s="4" t="inlineStr">
        <is>
          <t>750ml</t>
        </is>
      </c>
      <c r="F60" s="6" t="n"/>
      <c r="G60" s="7" t="n">
        <v>21</v>
      </c>
      <c r="H60" s="8">
        <f>F60*(1+G60/100)</f>
        <v/>
      </c>
      <c r="I60" s="9" t="n"/>
      <c r="J60" s="7" t="n">
        <v>23</v>
      </c>
      <c r="K60" s="10">
        <f>I60*(1+J60/100)</f>
        <v/>
      </c>
      <c r="L60" s="11" t="inlineStr">
        <is>
          <t>Polsko</t>
        </is>
      </c>
      <c r="M60" s="12" t="n"/>
      <c r="N60" s="13" t="n"/>
      <c r="O60" s="13" t="n"/>
      <c r="P60" s="12" t="n"/>
    </row>
    <row r="61">
      <c r="A61" s="4" t="inlineStr">
        <is>
          <t>1010173</t>
        </is>
      </c>
      <c r="B61" s="5" t="inlineStr">
        <is>
          <t>SIDOLUX Expert Vinyl a linoleum Argan 750 ml</t>
        </is>
      </c>
      <c r="C61" s="4" t="inlineStr">
        <is>
          <t>5902986218354</t>
        </is>
      </c>
      <c r="D61" s="5" t="inlineStr">
        <is>
          <t>Sidolux PREMIUM FLOOR CARE</t>
        </is>
      </c>
      <c r="E61" s="4" t="inlineStr">
        <is>
          <t>750ml</t>
        </is>
      </c>
      <c r="F61" s="6" t="n"/>
      <c r="G61" s="7" t="n">
        <v>21</v>
      </c>
      <c r="H61" s="8">
        <f>F61*(1+G61/100)</f>
        <v/>
      </c>
      <c r="I61" s="9" t="n"/>
      <c r="J61" s="7" t="n">
        <v>23</v>
      </c>
      <c r="K61" s="10">
        <f>I61*(1+J61/100)</f>
        <v/>
      </c>
      <c r="L61" s="11" t="inlineStr">
        <is>
          <t>Polsko</t>
        </is>
      </c>
      <c r="M61" s="12" t="n"/>
      <c r="N61" s="13" t="n"/>
      <c r="O61" s="13" t="n"/>
      <c r="P61" s="12" t="n"/>
    </row>
    <row r="62">
      <c r="A62" s="4" t="inlineStr">
        <is>
          <t>1010174</t>
        </is>
      </c>
      <c r="B62" s="5" t="inlineStr">
        <is>
          <t>SIDOLUX Expert Vinyl a linoleum Pomeranč 750 ml</t>
        </is>
      </c>
      <c r="C62" s="4" t="inlineStr">
        <is>
          <t>5902986218330</t>
        </is>
      </c>
      <c r="D62" s="5" t="inlineStr">
        <is>
          <t>Sidolux PREMIUM FLOOR CARE</t>
        </is>
      </c>
      <c r="E62" s="4" t="inlineStr">
        <is>
          <t>750ml</t>
        </is>
      </c>
      <c r="F62" s="6" t="n"/>
      <c r="G62" s="7" t="n">
        <v>21</v>
      </c>
      <c r="H62" s="8">
        <f>F62*(1+G62/100)</f>
        <v/>
      </c>
      <c r="I62" s="9" t="n"/>
      <c r="J62" s="7" t="n">
        <v>23</v>
      </c>
      <c r="K62" s="10">
        <f>I62*(1+J62/100)</f>
        <v/>
      </c>
      <c r="L62" s="11" t="inlineStr">
        <is>
          <t>Polsko</t>
        </is>
      </c>
      <c r="M62" s="12" t="n"/>
      <c r="N62" s="13" t="n"/>
      <c r="O62" s="13" t="n"/>
      <c r="P62" s="12" t="n"/>
    </row>
    <row r="63">
      <c r="A63" s="4" t="inlineStr">
        <is>
          <t>1010180</t>
        </is>
      </c>
      <c r="B63" s="5" t="inlineStr">
        <is>
          <t>SIDOLUX Expert Dřevo a laminát Argan 5000 ml</t>
        </is>
      </c>
      <c r="C63" s="4" t="inlineStr">
        <is>
          <t>5902986218507</t>
        </is>
      </c>
      <c r="D63" s="5" t="inlineStr">
        <is>
          <t>Sidolux PREMIUM FLOOR CARE</t>
        </is>
      </c>
      <c r="E63" s="4" t="inlineStr">
        <is>
          <t>5000ml</t>
        </is>
      </c>
      <c r="F63" s="6" t="n"/>
      <c r="G63" s="7" t="n">
        <v>21</v>
      </c>
      <c r="H63" s="8">
        <f>F63*(1+G63/100)</f>
        <v/>
      </c>
      <c r="I63" s="9" t="n"/>
      <c r="J63" s="7" t="n">
        <v>23</v>
      </c>
      <c r="K63" s="10">
        <f>I63*(1+J63/100)</f>
        <v/>
      </c>
      <c r="L63" s="11" t="inlineStr">
        <is>
          <t>Polsko</t>
        </is>
      </c>
      <c r="M63" s="12" t="n"/>
      <c r="N63" s="13" t="n"/>
      <c r="O63" s="13" t="n"/>
      <c r="P63" s="12" t="n"/>
    </row>
    <row r="64">
      <c r="A64" s="4" t="inlineStr">
        <is>
          <t>1011003</t>
        </is>
      </c>
      <c r="B64" s="5" t="inlineStr">
        <is>
          <t>SIDOLUX duo na ošetření náhrobních kamenů</t>
        </is>
      </c>
      <c r="C64" s="4" t="inlineStr">
        <is>
          <t>5902986261060</t>
        </is>
      </c>
      <c r="D64" s="5" t="inlineStr">
        <is>
          <t>Sidolux PROFESSIONAL</t>
        </is>
      </c>
      <c r="E64" s="4" t="inlineStr"/>
      <c r="F64" s="6" t="n"/>
      <c r="G64" s="7" t="n">
        <v>21</v>
      </c>
      <c r="H64" s="8">
        <f>F64*(1+G64/100)</f>
        <v/>
      </c>
      <c r="I64" s="9" t="n"/>
      <c r="J64" s="7" t="n">
        <v>23</v>
      </c>
      <c r="K64" s="10">
        <f>I64*(1+J64/100)</f>
        <v/>
      </c>
      <c r="L64" s="11" t="inlineStr">
        <is>
          <t>Polsko</t>
        </is>
      </c>
      <c r="M64" s="12" t="n"/>
      <c r="N64" s="13" t="n"/>
      <c r="O64" s="13" t="n"/>
      <c r="P64" s="12" t="n"/>
    </row>
    <row r="65">
      <c r="A65" s="4" t="inlineStr">
        <is>
          <t>1011901</t>
        </is>
      </c>
      <c r="B65" s="5" t="inlineStr">
        <is>
          <t>SIDOLUX Professional na ploché obrazovky a LCD 200 ml</t>
        </is>
      </c>
      <c r="C65" s="4" t="inlineStr">
        <is>
          <t>5902986201462</t>
        </is>
      </c>
      <c r="D65" s="5" t="inlineStr">
        <is>
          <t>Sidolux PROFESSIONAL</t>
        </is>
      </c>
      <c r="E65" s="4" t="inlineStr">
        <is>
          <t>200ml</t>
        </is>
      </c>
      <c r="F65" s="6" t="n"/>
      <c r="G65" s="7" t="n">
        <v>21</v>
      </c>
      <c r="H65" s="8">
        <f>F65*(1+G65/100)</f>
        <v/>
      </c>
      <c r="I65" s="9" t="n"/>
      <c r="J65" s="7" t="n">
        <v>23</v>
      </c>
      <c r="K65" s="10">
        <f>I65*(1+J65/100)</f>
        <v/>
      </c>
      <c r="L65" s="11" t="inlineStr">
        <is>
          <t>Polsko</t>
        </is>
      </c>
      <c r="M65" s="12" t="n"/>
      <c r="N65" s="13" t="n"/>
      <c r="O65" s="13" t="n"/>
      <c r="P65" s="12" t="n"/>
    </row>
    <row r="66">
      <c r="A66" s="4" t="inlineStr">
        <is>
          <t>1011903</t>
        </is>
      </c>
      <c r="B66" s="5" t="inlineStr">
        <is>
          <t>SIDOLUX Professional na kuchyně doypack 500 ml</t>
        </is>
      </c>
      <c r="C66" s="4" t="inlineStr">
        <is>
          <t>5902986244810</t>
        </is>
      </c>
      <c r="D66" s="5" t="inlineStr">
        <is>
          <t>Sidolux PROFESSIONAL</t>
        </is>
      </c>
      <c r="E66" s="4" t="inlineStr">
        <is>
          <t>500ml</t>
        </is>
      </c>
      <c r="F66" s="6" t="n"/>
      <c r="G66" s="7" t="n">
        <v>21</v>
      </c>
      <c r="H66" s="8">
        <f>F66*(1+G66/100)</f>
        <v/>
      </c>
      <c r="I66" s="9" t="n"/>
      <c r="J66" s="7" t="n">
        <v>23</v>
      </c>
      <c r="K66" s="10">
        <f>I66*(1+J66/100)</f>
        <v/>
      </c>
      <c r="L66" s="11" t="inlineStr">
        <is>
          <t>Polsko</t>
        </is>
      </c>
      <c r="M66" s="12" t="n"/>
      <c r="N66" s="13" t="n"/>
      <c r="O66" s="13" t="n"/>
      <c r="P66" s="12" t="n"/>
    </row>
    <row r="67">
      <c r="A67" s="4" t="inlineStr">
        <is>
          <t>1011904</t>
        </is>
      </c>
      <c r="B67" s="5" t="inlineStr">
        <is>
          <t>SIDOLUX Professional na koupelny doypack 500 ml</t>
        </is>
      </c>
      <c r="C67" s="4" t="inlineStr">
        <is>
          <t>5902986244919</t>
        </is>
      </c>
      <c r="D67" s="5" t="inlineStr">
        <is>
          <t>Sidolux PROFESSIONAL</t>
        </is>
      </c>
      <c r="E67" s="4" t="inlineStr">
        <is>
          <t>500ml</t>
        </is>
      </c>
      <c r="F67" s="6" t="n"/>
      <c r="G67" s="7" t="n">
        <v>21</v>
      </c>
      <c r="H67" s="8">
        <f>F67*(1+G67/100)</f>
        <v/>
      </c>
      <c r="I67" s="9" t="n"/>
      <c r="J67" s="7" t="n">
        <v>23</v>
      </c>
      <c r="K67" s="10">
        <f>I67*(1+J67/100)</f>
        <v/>
      </c>
      <c r="L67" s="11" t="inlineStr">
        <is>
          <t>Polsko</t>
        </is>
      </c>
      <c r="M67" s="12" t="n"/>
      <c r="N67" s="13" t="n"/>
      <c r="O67" s="13" t="n"/>
      <c r="P67" s="12" t="n"/>
    </row>
    <row r="68">
      <c r="A68" s="4" t="inlineStr">
        <is>
          <t>1011908</t>
        </is>
      </c>
      <c r="B68" s="5" t="inlineStr">
        <is>
          <t>SIDOLUX Professional na silné nečistoty 500 ml</t>
        </is>
      </c>
      <c r="C68" s="4" t="inlineStr">
        <is>
          <t>5902986208003</t>
        </is>
      </c>
      <c r="D68" s="5" t="inlineStr">
        <is>
          <t>Sidolux PROFESSIONAL</t>
        </is>
      </c>
      <c r="E68" s="4" t="inlineStr">
        <is>
          <t>500ml</t>
        </is>
      </c>
      <c r="F68" s="6" t="n"/>
      <c r="G68" s="7" t="n">
        <v>21</v>
      </c>
      <c r="H68" s="8">
        <f>F68*(1+G68/100)</f>
        <v/>
      </c>
      <c r="I68" s="9" t="n"/>
      <c r="J68" s="7" t="n">
        <v>23</v>
      </c>
      <c r="K68" s="10">
        <f>I68*(1+J68/100)</f>
        <v/>
      </c>
      <c r="L68" s="11" t="inlineStr">
        <is>
          <t>Polsko</t>
        </is>
      </c>
      <c r="M68" s="12" t="n"/>
      <c r="N68" s="13" t="n"/>
      <c r="O68" s="13" t="n"/>
      <c r="P68" s="12" t="n"/>
    </row>
    <row r="69">
      <c r="A69" s="4" t="inlineStr">
        <is>
          <t>1011909</t>
        </is>
      </c>
      <c r="B69" s="5" t="inlineStr">
        <is>
          <t>SIDOLUX Professional na kuchyně Citrus 500 ml</t>
        </is>
      </c>
      <c r="C69" s="4" t="inlineStr">
        <is>
          <t>5902986208027</t>
        </is>
      </c>
      <c r="D69" s="5" t="inlineStr">
        <is>
          <t>Sidolux PROFESSIONAL</t>
        </is>
      </c>
      <c r="E69" s="4" t="inlineStr">
        <is>
          <t>500ml</t>
        </is>
      </c>
      <c r="F69" s="6" t="n"/>
      <c r="G69" s="7" t="n">
        <v>21</v>
      </c>
      <c r="H69" s="8">
        <f>F69*(1+G69/100)</f>
        <v/>
      </c>
      <c r="I69" s="9" t="n"/>
      <c r="J69" s="7" t="n">
        <v>23</v>
      </c>
      <c r="K69" s="10">
        <f>I69*(1+J69/100)</f>
        <v/>
      </c>
      <c r="L69" s="11" t="inlineStr">
        <is>
          <t>Polsko</t>
        </is>
      </c>
      <c r="M69" s="12" t="n"/>
      <c r="N69" s="13" t="n"/>
      <c r="O69" s="13" t="n"/>
      <c r="P69" s="12" t="n"/>
    </row>
    <row r="70">
      <c r="A70" s="4" t="inlineStr">
        <is>
          <t>1011910</t>
        </is>
      </c>
      <c r="B70" s="5" t="inlineStr">
        <is>
          <t>SIDOLUX Professional na koupelny Citrus 500 ml</t>
        </is>
      </c>
      <c r="C70" s="4" t="inlineStr">
        <is>
          <t>5902986208041</t>
        </is>
      </c>
      <c r="D70" s="5" t="inlineStr">
        <is>
          <t>Sidolux PROFESSIONAL</t>
        </is>
      </c>
      <c r="E70" s="4" t="inlineStr">
        <is>
          <t>500ml</t>
        </is>
      </c>
      <c r="F70" s="6" t="n"/>
      <c r="G70" s="7" t="n">
        <v>21</v>
      </c>
      <c r="H70" s="8">
        <f>F70*(1+G70/100)</f>
        <v/>
      </c>
      <c r="I70" s="9" t="n"/>
      <c r="J70" s="7" t="n">
        <v>23</v>
      </c>
      <c r="K70" s="10">
        <f>I70*(1+J70/100)</f>
        <v/>
      </c>
      <c r="L70" s="11" t="inlineStr">
        <is>
          <t>Polsko</t>
        </is>
      </c>
      <c r="M70" s="12" t="n"/>
      <c r="N70" s="13" t="n"/>
      <c r="O70" s="13" t="n"/>
      <c r="P70" s="12" t="n"/>
    </row>
    <row r="71">
      <c r="A71" s="4" t="inlineStr">
        <is>
          <t>1011912</t>
        </is>
      </c>
      <c r="B71" s="5" t="inlineStr">
        <is>
          <t>SIDOLUX Professional na kuchyně 500+250 ml</t>
        </is>
      </c>
      <c r="C71" s="4" t="inlineStr">
        <is>
          <t>5902986245190</t>
        </is>
      </c>
      <c r="D71" s="5" t="inlineStr">
        <is>
          <t>Sidolux PROFESSIONAL</t>
        </is>
      </c>
      <c r="E71" s="4" t="inlineStr">
        <is>
          <t>750ml</t>
        </is>
      </c>
      <c r="F71" s="6" t="n"/>
      <c r="G71" s="7" t="n">
        <v>21</v>
      </c>
      <c r="H71" s="8">
        <f>F71*(1+G71/100)</f>
        <v/>
      </c>
      <c r="I71" s="9" t="n"/>
      <c r="J71" s="7" t="n">
        <v>23</v>
      </c>
      <c r="K71" s="10">
        <f>I71*(1+J71/100)</f>
        <v/>
      </c>
      <c r="L71" s="11" t="inlineStr">
        <is>
          <t>Polsko</t>
        </is>
      </c>
      <c r="M71" s="12" t="n"/>
      <c r="N71" s="13" t="n"/>
      <c r="O71" s="13" t="n"/>
      <c r="P71" s="12" t="n"/>
    </row>
    <row r="72">
      <c r="A72" s="4" t="inlineStr">
        <is>
          <t>1011913</t>
        </is>
      </c>
      <c r="B72" s="5" t="inlineStr">
        <is>
          <t>SIDOLUX Professional na koupelny 500+250 ml</t>
        </is>
      </c>
      <c r="C72" s="4" t="inlineStr">
        <is>
          <t>5902986245114</t>
        </is>
      </c>
      <c r="D72" s="5" t="inlineStr">
        <is>
          <t>Sidolux PROFESSIONAL</t>
        </is>
      </c>
      <c r="E72" s="4" t="inlineStr">
        <is>
          <t>750ml</t>
        </is>
      </c>
      <c r="F72" s="6" t="n"/>
      <c r="G72" s="7" t="n">
        <v>21</v>
      </c>
      <c r="H72" s="8">
        <f>F72*(1+G72/100)</f>
        <v/>
      </c>
      <c r="I72" s="9" t="n"/>
      <c r="J72" s="7" t="n">
        <v>23</v>
      </c>
      <c r="K72" s="10">
        <f>I72*(1+J72/100)</f>
        <v/>
      </c>
      <c r="L72" s="11" t="inlineStr">
        <is>
          <t>Polsko</t>
        </is>
      </c>
      <c r="M72" s="12" t="n"/>
      <c r="N72" s="13" t="n"/>
      <c r="O72" s="13" t="n"/>
      <c r="P72" s="12" t="n"/>
    </row>
    <row r="73">
      <c r="A73" s="4" t="inlineStr">
        <is>
          <t>1011915</t>
        </is>
      </c>
      <c r="B73" s="5" t="inlineStr">
        <is>
          <t>SIDOLUX Professional na připáleniny a krbová skla 500 ml</t>
        </is>
      </c>
      <c r="C73" s="4" t="inlineStr">
        <is>
          <t>5902986271069</t>
        </is>
      </c>
      <c r="D73" s="5" t="inlineStr">
        <is>
          <t>Sidolux PROFESSIONAL</t>
        </is>
      </c>
      <c r="E73" s="4" t="inlineStr">
        <is>
          <t>500ml</t>
        </is>
      </c>
      <c r="F73" s="6" t="n"/>
      <c r="G73" s="7" t="n">
        <v>21</v>
      </c>
      <c r="H73" s="8">
        <f>F73*(1+G73/100)</f>
        <v/>
      </c>
      <c r="I73" s="9" t="n"/>
      <c r="J73" s="7" t="n">
        <v>23</v>
      </c>
      <c r="K73" s="10">
        <f>I73*(1+J73/100)</f>
        <v/>
      </c>
      <c r="L73" s="11" t="inlineStr">
        <is>
          <t>Polsko</t>
        </is>
      </c>
      <c r="M73" s="12" t="n"/>
      <c r="N73" s="13" t="n"/>
      <c r="O73" s="13" t="n"/>
      <c r="P73" s="12" t="n"/>
    </row>
    <row r="74">
      <c r="A74" s="4" t="inlineStr">
        <is>
          <t>1011916</t>
        </is>
      </c>
      <c r="B74" s="5" t="inlineStr">
        <is>
          <t>SIDOLUX Professional gelový čistič odpadů a potrubí 1000 ml</t>
        </is>
      </c>
      <c r="C74" s="4" t="inlineStr">
        <is>
          <t>5902986244117</t>
        </is>
      </c>
      <c r="D74" s="5" t="inlineStr">
        <is>
          <t>Sidolux PROFESSIONAL</t>
        </is>
      </c>
      <c r="E74" s="4" t="inlineStr">
        <is>
          <t>1000ml</t>
        </is>
      </c>
      <c r="F74" s="6" t="n"/>
      <c r="G74" s="7" t="n">
        <v>21</v>
      </c>
      <c r="H74" s="8">
        <f>F74*(1+G74/100)</f>
        <v/>
      </c>
      <c r="I74" s="9" t="n"/>
      <c r="J74" s="7" t="n">
        <v>23</v>
      </c>
      <c r="K74" s="10">
        <f>I74*(1+J74/100)</f>
        <v/>
      </c>
      <c r="L74" s="11" t="inlineStr">
        <is>
          <t>Polsko</t>
        </is>
      </c>
      <c r="M74" s="12" t="n"/>
      <c r="N74" s="13" t="n"/>
      <c r="O74" s="13" t="n"/>
      <c r="P74" s="12" t="n"/>
    </row>
    <row r="75">
      <c r="A75" s="4" t="inlineStr">
        <is>
          <t>1011919</t>
        </is>
      </c>
      <c r="B75" s="5" t="inlineStr">
        <is>
          <t>SIDOLUX Professional na koupelny Marseille soap lavender 500 ml</t>
        </is>
      </c>
      <c r="C75" s="4" t="inlineStr">
        <is>
          <t>5902986292835</t>
        </is>
      </c>
      <c r="D75" s="5" t="inlineStr">
        <is>
          <t>Sidolux PROFESSIONAL</t>
        </is>
      </c>
      <c r="E75" s="4" t="inlineStr">
        <is>
          <t>500ml</t>
        </is>
      </c>
      <c r="F75" s="6" t="n"/>
      <c r="G75" s="7" t="n">
        <v>21</v>
      </c>
      <c r="H75" s="8">
        <f>F75*(1+G75/100)</f>
        <v/>
      </c>
      <c r="I75" s="9" t="n"/>
      <c r="J75" s="7" t="n">
        <v>23</v>
      </c>
      <c r="K75" s="10">
        <f>I75*(1+J75/100)</f>
        <v/>
      </c>
      <c r="L75" s="11" t="inlineStr">
        <is>
          <t>Polsko</t>
        </is>
      </c>
      <c r="M75" s="12" t="n"/>
      <c r="N75" s="13" t="n"/>
      <c r="O75" s="13" t="n"/>
      <c r="P75" s="12" t="n"/>
    </row>
    <row r="76">
      <c r="A76" s="4" t="inlineStr">
        <is>
          <t>1013601</t>
        </is>
      </c>
      <c r="B76" s="5" t="inlineStr">
        <is>
          <t>SIDOLUX Praní Odstraňovač skvrn 500 ml</t>
        </is>
      </c>
      <c r="C76" s="4" t="inlineStr">
        <is>
          <t>5902986213113</t>
        </is>
      </c>
      <c r="D76" s="5" t="inlineStr">
        <is>
          <t>Sidolux Praní</t>
        </is>
      </c>
      <c r="E76" s="4" t="inlineStr">
        <is>
          <t>500ml</t>
        </is>
      </c>
      <c r="F76" s="6" t="n"/>
      <c r="G76" s="7" t="n">
        <v>21</v>
      </c>
      <c r="H76" s="8">
        <f>F76*(1+G76/100)</f>
        <v/>
      </c>
      <c r="I76" s="9" t="n"/>
      <c r="J76" s="7" t="n">
        <v>23</v>
      </c>
      <c r="K76" s="10">
        <f>I76*(1+J76/100)</f>
        <v/>
      </c>
      <c r="L76" s="11" t="inlineStr">
        <is>
          <t>Polsko</t>
        </is>
      </c>
      <c r="M76" s="12" t="n"/>
      <c r="N76" s="13" t="n"/>
      <c r="O76" s="13" t="n"/>
      <c r="P76" s="12" t="n"/>
    </row>
    <row r="77">
      <c r="A77" s="4" t="inlineStr">
        <is>
          <t>1013602</t>
        </is>
      </c>
      <c r="B77" s="5" t="inlineStr">
        <is>
          <t>SIDOLUX Praní Odstraňovač skvrn 250 ml</t>
        </is>
      </c>
      <c r="C77" s="4" t="inlineStr">
        <is>
          <t>5902986214769</t>
        </is>
      </c>
      <c r="D77" s="5" t="inlineStr">
        <is>
          <t>Sidolux Praní</t>
        </is>
      </c>
      <c r="E77" s="4" t="inlineStr">
        <is>
          <t>250ml</t>
        </is>
      </c>
      <c r="F77" s="6" t="n"/>
      <c r="G77" s="7" t="n">
        <v>21</v>
      </c>
      <c r="H77" s="8">
        <f>F77*(1+G77/100)</f>
        <v/>
      </c>
      <c r="I77" s="9" t="n"/>
      <c r="J77" s="7" t="n">
        <v>23</v>
      </c>
      <c r="K77" s="10">
        <f>I77*(1+J77/100)</f>
        <v/>
      </c>
      <c r="L77" s="11" t="inlineStr">
        <is>
          <t>Polsko</t>
        </is>
      </c>
      <c r="M77" s="12" t="n"/>
      <c r="N77" s="13" t="n"/>
      <c r="O77" s="13" t="n"/>
      <c r="P77" s="12" t="n"/>
    </row>
    <row r="78">
      <c r="A78" s="4" t="inlineStr">
        <is>
          <t>1013603</t>
        </is>
      </c>
      <c r="B78" s="5" t="inlineStr">
        <is>
          <t>SIDOLUX Praní pro obnovu barev 1000 ml</t>
        </is>
      </c>
      <c r="C78" s="4" t="inlineStr">
        <is>
          <t>5902986214783</t>
        </is>
      </c>
      <c r="D78" s="5" t="inlineStr">
        <is>
          <t>Sidolux Praní</t>
        </is>
      </c>
      <c r="E78" s="4" t="inlineStr">
        <is>
          <t>1000ml</t>
        </is>
      </c>
      <c r="F78" s="6" t="n"/>
      <c r="G78" s="7" t="n">
        <v>21</v>
      </c>
      <c r="H78" s="8">
        <f>F78*(1+G78/100)</f>
        <v/>
      </c>
      <c r="I78" s="9" t="n"/>
      <c r="J78" s="7" t="n">
        <v>23</v>
      </c>
      <c r="K78" s="10">
        <f>I78*(1+J78/100)</f>
        <v/>
      </c>
      <c r="L78" s="11" t="inlineStr">
        <is>
          <t>Polsko</t>
        </is>
      </c>
      <c r="M78" s="12" t="n"/>
      <c r="N78" s="13" t="n"/>
      <c r="O78" s="13" t="n"/>
      <c r="P78" s="12" t="n"/>
    </row>
    <row r="79">
      <c r="A79" s="4" t="inlineStr">
        <is>
          <t>1013612</t>
        </is>
      </c>
      <c r="B79" s="5" t="inlineStr">
        <is>
          <t>SIDOLUX Praní Gel white 1920 ml</t>
        </is>
      </c>
      <c r="C79" s="4" t="inlineStr">
        <is>
          <t>5902986291111</t>
        </is>
      </c>
      <c r="D79" s="5" t="inlineStr">
        <is>
          <t>Sidolux Praní</t>
        </is>
      </c>
      <c r="E79" s="4" t="inlineStr">
        <is>
          <t>1920ml</t>
        </is>
      </c>
      <c r="F79" s="6" t="n"/>
      <c r="G79" s="7" t="n">
        <v>21</v>
      </c>
      <c r="H79" s="8">
        <f>F79*(1+G79/100)</f>
        <v/>
      </c>
      <c r="I79" s="9" t="n"/>
      <c r="J79" s="7" t="n">
        <v>23</v>
      </c>
      <c r="K79" s="10">
        <f>I79*(1+J79/100)</f>
        <v/>
      </c>
      <c r="L79" s="11" t="inlineStr">
        <is>
          <t>Polsko</t>
        </is>
      </c>
      <c r="M79" s="12" t="n"/>
      <c r="N79" s="13" t="n"/>
      <c r="O79" s="13" t="n"/>
      <c r="P79" s="12" t="n"/>
    </row>
    <row r="80">
      <c r="A80" s="4" t="inlineStr">
        <is>
          <t>1013613</t>
        </is>
      </c>
      <c r="B80" s="5" t="inlineStr">
        <is>
          <t>SIDOLUX Praní Gel color 1920 ml</t>
        </is>
      </c>
      <c r="C80" s="4" t="inlineStr">
        <is>
          <t>5902986291098</t>
        </is>
      </c>
      <c r="D80" s="5" t="inlineStr">
        <is>
          <t>Sidolux Praní</t>
        </is>
      </c>
      <c r="E80" s="4" t="inlineStr">
        <is>
          <t>1920ml</t>
        </is>
      </c>
      <c r="F80" s="6" t="n"/>
      <c r="G80" s="7" t="n">
        <v>21</v>
      </c>
      <c r="H80" s="8">
        <f>F80*(1+G80/100)</f>
        <v/>
      </c>
      <c r="I80" s="9" t="n"/>
      <c r="J80" s="7" t="n">
        <v>23</v>
      </c>
      <c r="K80" s="10">
        <f>I80*(1+J80/100)</f>
        <v/>
      </c>
      <c r="L80" s="11" t="inlineStr">
        <is>
          <t>Polsko</t>
        </is>
      </c>
      <c r="M80" s="12" t="n"/>
      <c r="N80" s="13" t="n"/>
      <c r="O80" s="13" t="n"/>
      <c r="P80" s="12" t="n"/>
    </row>
    <row r="81">
      <c r="A81" s="4" t="inlineStr">
        <is>
          <t>1013614</t>
        </is>
      </c>
      <c r="B81" s="5" t="inlineStr">
        <is>
          <t>SIDOLUX Praní Multicaps white 10 ks</t>
        </is>
      </c>
      <c r="C81" s="4" t="inlineStr">
        <is>
          <t>5902986211201</t>
        </is>
      </c>
      <c r="D81" s="5" t="inlineStr">
        <is>
          <t>Sidolux Praní</t>
        </is>
      </c>
      <c r="E81" s="4" t="inlineStr">
        <is>
          <t>10ks</t>
        </is>
      </c>
      <c r="F81" s="6" t="n"/>
      <c r="G81" s="7" t="n">
        <v>21</v>
      </c>
      <c r="H81" s="8">
        <f>F81*(1+G81/100)</f>
        <v/>
      </c>
      <c r="I81" s="9" t="n"/>
      <c r="J81" s="7" t="n">
        <v>23</v>
      </c>
      <c r="K81" s="10">
        <f>I81*(1+J81/100)</f>
        <v/>
      </c>
      <c r="L81" s="11" t="inlineStr">
        <is>
          <t>Polsko</t>
        </is>
      </c>
      <c r="M81" s="12" t="n"/>
      <c r="N81" s="13" t="n"/>
      <c r="O81" s="13" t="n"/>
      <c r="P81" s="12" t="n"/>
    </row>
    <row r="82">
      <c r="A82" s="4" t="inlineStr">
        <is>
          <t>1013615</t>
        </is>
      </c>
      <c r="B82" s="5" t="inlineStr">
        <is>
          <t>SIDOLUX Praní Multicaps color 10 ks</t>
        </is>
      </c>
      <c r="C82" s="4" t="inlineStr">
        <is>
          <t>5902986211225</t>
        </is>
      </c>
      <c r="D82" s="5" t="inlineStr">
        <is>
          <t>Sidolux Praní</t>
        </is>
      </c>
      <c r="E82" s="4" t="inlineStr">
        <is>
          <t>10ks</t>
        </is>
      </c>
      <c r="F82" s="6" t="n"/>
      <c r="G82" s="7" t="n">
        <v>21</v>
      </c>
      <c r="H82" s="8">
        <f>F82*(1+G82/100)</f>
        <v/>
      </c>
      <c r="I82" s="9" t="n"/>
      <c r="J82" s="7" t="n">
        <v>23</v>
      </c>
      <c r="K82" s="10">
        <f>I82*(1+J82/100)</f>
        <v/>
      </c>
      <c r="L82" s="11" t="inlineStr">
        <is>
          <t>Polsko</t>
        </is>
      </c>
      <c r="M82" s="12" t="n"/>
      <c r="N82" s="13" t="n"/>
      <c r="O82" s="13" t="n"/>
      <c r="P82" s="12" t="n"/>
    </row>
    <row r="83">
      <c r="A83" s="4" t="inlineStr">
        <is>
          <t>1013616</t>
        </is>
      </c>
      <c r="B83" s="5" t="inlineStr">
        <is>
          <t>SIDOLUX Praní Multicaps black 10 ks</t>
        </is>
      </c>
      <c r="C83" s="4" t="inlineStr">
        <is>
          <t>5902986211249</t>
        </is>
      </c>
      <c r="D83" s="5" t="inlineStr">
        <is>
          <t>Sidolux Praní</t>
        </is>
      </c>
      <c r="E83" s="4" t="inlineStr">
        <is>
          <t>10ks</t>
        </is>
      </c>
      <c r="F83" s="6" t="n"/>
      <c r="G83" s="7" t="n">
        <v>21</v>
      </c>
      <c r="H83" s="8">
        <f>F83*(1+G83/100)</f>
        <v/>
      </c>
      <c r="I83" s="9" t="n"/>
      <c r="J83" s="7" t="n">
        <v>23</v>
      </c>
      <c r="K83" s="10">
        <f>I83*(1+J83/100)</f>
        <v/>
      </c>
      <c r="L83" s="11" t="inlineStr">
        <is>
          <t>Polsko</t>
        </is>
      </c>
      <c r="M83" s="12" t="n"/>
      <c r="N83" s="13" t="n"/>
      <c r="O83" s="13" t="n"/>
      <c r="P83" s="12" t="n"/>
    </row>
    <row r="84">
      <c r="A84" s="4" t="inlineStr">
        <is>
          <t>1013618</t>
        </is>
      </c>
      <c r="B84" s="5" t="inlineStr">
        <is>
          <t>SIDOLUX Praní Multicaps white 30 ks</t>
        </is>
      </c>
      <c r="C84" s="4" t="inlineStr">
        <is>
          <t>5902986214349</t>
        </is>
      </c>
      <c r="D84" s="5" t="inlineStr">
        <is>
          <t>Sidolux Praní</t>
        </is>
      </c>
      <c r="E84" s="4" t="inlineStr"/>
      <c r="F84" s="6" t="n"/>
      <c r="G84" s="7" t="n">
        <v>21</v>
      </c>
      <c r="H84" s="8">
        <f>F84*(1+G84/100)</f>
        <v/>
      </c>
      <c r="I84" s="9" t="n"/>
      <c r="J84" s="7" t="n">
        <v>23</v>
      </c>
      <c r="K84" s="10">
        <f>I84*(1+J84/100)</f>
        <v/>
      </c>
      <c r="L84" s="11" t="inlineStr">
        <is>
          <t>Polsko</t>
        </is>
      </c>
      <c r="M84" s="12" t="n"/>
      <c r="N84" s="13" t="n"/>
      <c r="O84" s="13" t="n"/>
      <c r="P84" s="12" t="n"/>
    </row>
    <row r="85">
      <c r="A85" s="4" t="inlineStr">
        <is>
          <t>1013619</t>
        </is>
      </c>
      <c r="B85" s="5" t="inlineStr">
        <is>
          <t>SIDOLUX Praní Multicaps color 30 ks</t>
        </is>
      </c>
      <c r="C85" s="4" t="inlineStr">
        <is>
          <t>5902986214363</t>
        </is>
      </c>
      <c r="D85" s="5" t="inlineStr">
        <is>
          <t>Sidolux Praní</t>
        </is>
      </c>
      <c r="E85" s="4" t="inlineStr"/>
      <c r="F85" s="6" t="n"/>
      <c r="G85" s="7" t="n">
        <v>21</v>
      </c>
      <c r="H85" s="8">
        <f>F85*(1+G85/100)</f>
        <v/>
      </c>
      <c r="I85" s="9" t="n"/>
      <c r="J85" s="7" t="n">
        <v>23</v>
      </c>
      <c r="K85" s="10">
        <f>I85*(1+J85/100)</f>
        <v/>
      </c>
      <c r="L85" s="11" t="inlineStr">
        <is>
          <t>Polsko</t>
        </is>
      </c>
      <c r="M85" s="12" t="n"/>
      <c r="N85" s="13" t="n"/>
      <c r="O85" s="13" t="n"/>
      <c r="P85" s="12" t="n"/>
    </row>
    <row r="86">
      <c r="A86" s="4" t="inlineStr">
        <is>
          <t>1013620</t>
        </is>
      </c>
      <c r="B86" s="5" t="inlineStr">
        <is>
          <t>SIDOLUX Praní Multicaps black 30 ks</t>
        </is>
      </c>
      <c r="C86" s="4" t="inlineStr">
        <is>
          <t>5902986214387</t>
        </is>
      </c>
      <c r="D86" s="5" t="inlineStr">
        <is>
          <t>Sidolux Praní</t>
        </is>
      </c>
      <c r="E86" s="4" t="inlineStr"/>
      <c r="F86" s="6" t="n"/>
      <c r="G86" s="7" t="n">
        <v>21</v>
      </c>
      <c r="H86" s="8">
        <f>F86*(1+G86/100)</f>
        <v/>
      </c>
      <c r="I86" s="9" t="n"/>
      <c r="J86" s="7" t="n">
        <v>23</v>
      </c>
      <c r="K86" s="10">
        <f>I86*(1+J86/100)</f>
        <v/>
      </c>
      <c r="L86" s="11" t="inlineStr">
        <is>
          <t>Polsko</t>
        </is>
      </c>
      <c r="M86" s="12" t="n"/>
      <c r="N86" s="13" t="n"/>
      <c r="O86" s="13" t="n"/>
      <c r="P86" s="12" t="n"/>
    </row>
    <row r="87">
      <c r="A87" s="4" t="inlineStr">
        <is>
          <t>1010501</t>
        </is>
      </c>
      <c r="B87" s="5" t="inlineStr">
        <is>
          <t>SIDOLUX Universal Marseille soap 1000 ml</t>
        </is>
      </c>
      <c r="C87" s="4" t="inlineStr">
        <is>
          <t>5902986203541</t>
        </is>
      </c>
      <c r="D87" s="5" t="inlineStr">
        <is>
          <t>Sidolux UNIVERSAL</t>
        </is>
      </c>
      <c r="E87" s="4" t="inlineStr">
        <is>
          <t>1000ml</t>
        </is>
      </c>
      <c r="F87" s="6" t="n"/>
      <c r="G87" s="7" t="n">
        <v>21</v>
      </c>
      <c r="H87" s="8">
        <f>F87*(1+G87/100)</f>
        <v/>
      </c>
      <c r="I87" s="9" t="n"/>
      <c r="J87" s="7" t="n">
        <v>23</v>
      </c>
      <c r="K87" s="10">
        <f>I87*(1+J87/100)</f>
        <v/>
      </c>
      <c r="L87" s="11" t="inlineStr">
        <is>
          <t>Polsko</t>
        </is>
      </c>
      <c r="M87" s="12" t="n"/>
      <c r="N87" s="13" t="n"/>
      <c r="O87" s="13" t="n"/>
      <c r="P87" s="12" t="n"/>
    </row>
    <row r="88">
      <c r="A88" s="4" t="inlineStr">
        <is>
          <t>1010502</t>
        </is>
      </c>
      <c r="B88" s="5" t="inlineStr">
        <is>
          <t>SIDOLUX Universal Fresh lemon 1000 ml</t>
        </is>
      </c>
      <c r="C88" s="4" t="inlineStr">
        <is>
          <t>5902986203565</t>
        </is>
      </c>
      <c r="D88" s="5" t="inlineStr">
        <is>
          <t>Sidolux UNIVERSAL</t>
        </is>
      </c>
      <c r="E88" s="4" t="inlineStr">
        <is>
          <t>1000ml</t>
        </is>
      </c>
      <c r="F88" s="6" t="n"/>
      <c r="G88" s="7" t="n">
        <v>21</v>
      </c>
      <c r="H88" s="8">
        <f>F88*(1+G88/100)</f>
        <v/>
      </c>
      <c r="I88" s="9" t="n"/>
      <c r="J88" s="7" t="n">
        <v>23</v>
      </c>
      <c r="K88" s="10">
        <f>I88*(1+J88/100)</f>
        <v/>
      </c>
      <c r="L88" s="11" t="inlineStr">
        <is>
          <t>Polsko</t>
        </is>
      </c>
      <c r="M88" s="12" t="n"/>
      <c r="N88" s="13" t="n"/>
      <c r="O88" s="13" t="n"/>
      <c r="P88" s="12" t="n"/>
    </row>
    <row r="89">
      <c r="A89" s="4" t="inlineStr">
        <is>
          <t>1010503</t>
        </is>
      </c>
      <c r="B89" s="5" t="inlineStr">
        <is>
          <t>SIDOLUX Universal Summer time 1000 ml</t>
        </is>
      </c>
      <c r="C89" s="4" t="inlineStr">
        <is>
          <t>5902986217333</t>
        </is>
      </c>
      <c r="D89" s="5" t="inlineStr">
        <is>
          <t>Sidolux UNIVERSAL</t>
        </is>
      </c>
      <c r="E89" s="4" t="inlineStr">
        <is>
          <t>1000ml</t>
        </is>
      </c>
      <c r="F89" s="6" t="n"/>
      <c r="G89" s="7" t="n">
        <v>21</v>
      </c>
      <c r="H89" s="8">
        <f>F89*(1+G89/100)</f>
        <v/>
      </c>
      <c r="I89" s="9" t="n"/>
      <c r="J89" s="7" t="n">
        <v>23</v>
      </c>
      <c r="K89" s="10">
        <f>I89*(1+J89/100)</f>
        <v/>
      </c>
      <c r="L89" s="11" t="inlineStr">
        <is>
          <t>Polsko</t>
        </is>
      </c>
      <c r="M89" s="12" t="n"/>
      <c r="N89" s="13" t="n"/>
      <c r="O89" s="13" t="n"/>
      <c r="P89" s="12" t="n"/>
    </row>
    <row r="90">
      <c r="A90" s="4" t="inlineStr">
        <is>
          <t>1010504</t>
        </is>
      </c>
      <c r="B90" s="5" t="inlineStr">
        <is>
          <t>SIDOLUX Universal Lilly of the valley 1000 ml</t>
        </is>
      </c>
      <c r="C90" s="4" t="inlineStr">
        <is>
          <t>5902986208072</t>
        </is>
      </c>
      <c r="D90" s="5" t="inlineStr">
        <is>
          <t>Sidolux UNIVERSAL</t>
        </is>
      </c>
      <c r="E90" s="4" t="inlineStr">
        <is>
          <t>1000ml</t>
        </is>
      </c>
      <c r="F90" s="6" t="n"/>
      <c r="G90" s="7" t="n">
        <v>21</v>
      </c>
      <c r="H90" s="8">
        <f>F90*(1+G90/100)</f>
        <v/>
      </c>
      <c r="I90" s="9" t="n"/>
      <c r="J90" s="7" t="n">
        <v>23</v>
      </c>
      <c r="K90" s="10">
        <f>I90*(1+J90/100)</f>
        <v/>
      </c>
      <c r="L90" s="11" t="inlineStr">
        <is>
          <t>Polsko</t>
        </is>
      </c>
      <c r="M90" s="12" t="n"/>
      <c r="N90" s="13" t="n"/>
      <c r="O90" s="13" t="n"/>
      <c r="P90" s="12" t="n"/>
    </row>
    <row r="91">
      <c r="A91" s="4" t="inlineStr">
        <is>
          <t>1010505</t>
        </is>
      </c>
      <c r="B91" s="5" t="inlineStr">
        <is>
          <t>SIDOLUX Universal Magnolia 1000 ml</t>
        </is>
      </c>
      <c r="C91" s="4" t="inlineStr">
        <is>
          <t>5902986217357</t>
        </is>
      </c>
      <c r="D91" s="5" t="inlineStr">
        <is>
          <t>Sidolux UNIVERSAL</t>
        </is>
      </c>
      <c r="E91" s="4" t="inlineStr">
        <is>
          <t>1000ml</t>
        </is>
      </c>
      <c r="F91" s="6" t="n"/>
      <c r="G91" s="7" t="n">
        <v>21</v>
      </c>
      <c r="H91" s="8">
        <f>F91*(1+G91/100)</f>
        <v/>
      </c>
      <c r="I91" s="9" t="n"/>
      <c r="J91" s="7" t="n">
        <v>23</v>
      </c>
      <c r="K91" s="10">
        <f>I91*(1+J91/100)</f>
        <v/>
      </c>
      <c r="L91" s="11" t="inlineStr">
        <is>
          <t>Polsko</t>
        </is>
      </c>
      <c r="M91" s="12" t="n"/>
      <c r="N91" s="13" t="n"/>
      <c r="O91" s="13" t="n"/>
      <c r="P91" s="12" t="n"/>
    </row>
    <row r="92">
      <c r="A92" s="4" t="inlineStr">
        <is>
          <t>1010506</t>
        </is>
      </c>
      <c r="B92" s="5" t="inlineStr">
        <is>
          <t>SIDOLUX Universal Blue flower 1000 ml</t>
        </is>
      </c>
      <c r="C92" s="4" t="inlineStr">
        <is>
          <t>5902986204449</t>
        </is>
      </c>
      <c r="D92" s="5" t="inlineStr">
        <is>
          <t>Sidolux UNIVERSAL</t>
        </is>
      </c>
      <c r="E92" s="4" t="inlineStr">
        <is>
          <t>1000ml</t>
        </is>
      </c>
      <c r="F92" s="6" t="n"/>
      <c r="G92" s="7" t="n">
        <v>21</v>
      </c>
      <c r="H92" s="8">
        <f>F92*(1+G92/100)</f>
        <v/>
      </c>
      <c r="I92" s="9" t="n"/>
      <c r="J92" s="7" t="n">
        <v>23</v>
      </c>
      <c r="K92" s="10">
        <f>I92*(1+J92/100)</f>
        <v/>
      </c>
      <c r="L92" s="11" t="inlineStr">
        <is>
          <t>Polsko</t>
        </is>
      </c>
      <c r="M92" s="12" t="n"/>
      <c r="N92" s="13" t="n"/>
      <c r="O92" s="13" t="n"/>
      <c r="P92" s="12" t="n"/>
    </row>
    <row r="93">
      <c r="A93" s="4" t="inlineStr">
        <is>
          <t>1010507</t>
        </is>
      </c>
      <c r="B93" s="5" t="inlineStr">
        <is>
          <t>SIDOLUX Universal Marseille soap lavender 1000 ml</t>
        </is>
      </c>
      <c r="C93" s="4" t="inlineStr">
        <is>
          <t>5902986292811</t>
        </is>
      </c>
      <c r="D93" s="5" t="inlineStr">
        <is>
          <t>Sidolux UNIVERSAL</t>
        </is>
      </c>
      <c r="E93" s="4" t="inlineStr">
        <is>
          <t>1000ml</t>
        </is>
      </c>
      <c r="F93" s="6" t="n"/>
      <c r="G93" s="7" t="n">
        <v>21</v>
      </c>
      <c r="H93" s="8">
        <f>F93*(1+G93/100)</f>
        <v/>
      </c>
      <c r="I93" s="9" t="n"/>
      <c r="J93" s="7" t="n">
        <v>23</v>
      </c>
      <c r="K93" s="10">
        <f>I93*(1+J93/100)</f>
        <v/>
      </c>
      <c r="L93" s="11" t="inlineStr">
        <is>
          <t>Polsko</t>
        </is>
      </c>
      <c r="M93" s="12" t="n"/>
      <c r="N93" s="13" t="n"/>
      <c r="O93" s="13" t="n"/>
      <c r="P93" s="12" t="n"/>
    </row>
    <row r="94">
      <c r="A94" s="4" t="inlineStr">
        <is>
          <t>1010508</t>
        </is>
      </c>
      <c r="B94" s="5" t="inlineStr">
        <is>
          <t>SIDOLUX Universal Orange 1000 ml</t>
        </is>
      </c>
      <c r="C94" s="4" t="inlineStr">
        <is>
          <t>5902986217395</t>
        </is>
      </c>
      <c r="D94" s="5" t="inlineStr">
        <is>
          <t>Sidolux UNIVERSAL</t>
        </is>
      </c>
      <c r="E94" s="4" t="inlineStr">
        <is>
          <t>1000ml</t>
        </is>
      </c>
      <c r="F94" s="6" t="n"/>
      <c r="G94" s="7" t="n">
        <v>21</v>
      </c>
      <c r="H94" s="8">
        <f>F94*(1+G94/100)</f>
        <v/>
      </c>
      <c r="I94" s="9" t="n"/>
      <c r="J94" s="7" t="n">
        <v>23</v>
      </c>
      <c r="K94" s="10">
        <f>I94*(1+J94/100)</f>
        <v/>
      </c>
      <c r="L94" s="11" t="inlineStr">
        <is>
          <t>Polsko</t>
        </is>
      </c>
      <c r="M94" s="12" t="n"/>
      <c r="N94" s="13" t="n"/>
      <c r="O94" s="13" t="n"/>
      <c r="P94" s="12" t="n"/>
    </row>
    <row r="95">
      <c r="A95" s="4" t="inlineStr">
        <is>
          <t>1010509</t>
        </is>
      </c>
      <c r="B95" s="5" t="inlineStr">
        <is>
          <t>SIDOLUX Universal Green grapes 1000 ml</t>
        </is>
      </c>
      <c r="C95" s="4" t="inlineStr">
        <is>
          <t>5902986204067</t>
        </is>
      </c>
      <c r="D95" s="5" t="inlineStr">
        <is>
          <t>Sidolux UNIVERSAL</t>
        </is>
      </c>
      <c r="E95" s="4" t="inlineStr">
        <is>
          <t>1000ml</t>
        </is>
      </c>
      <c r="F95" s="6" t="n"/>
      <c r="G95" s="7" t="n">
        <v>21</v>
      </c>
      <c r="H95" s="8">
        <f>F95*(1+G95/100)</f>
        <v/>
      </c>
      <c r="I95" s="9" t="n"/>
      <c r="J95" s="7" t="n">
        <v>23</v>
      </c>
      <c r="K95" s="10">
        <f>I95*(1+J95/100)</f>
        <v/>
      </c>
      <c r="L95" s="11" t="inlineStr">
        <is>
          <t>Polsko</t>
        </is>
      </c>
      <c r="M95" s="12" t="n"/>
      <c r="N95" s="13" t="n"/>
      <c r="O95" s="13" t="n"/>
      <c r="P95" s="12" t="n"/>
    </row>
    <row r="96">
      <c r="A96" s="4" t="inlineStr">
        <is>
          <t>1010510</t>
        </is>
      </c>
      <c r="B96" s="5" t="inlineStr">
        <is>
          <t>SIDOLUX Universal Magic night 1000 ml</t>
        </is>
      </c>
      <c r="C96" s="4" t="inlineStr">
        <is>
          <t>5902986217371</t>
        </is>
      </c>
      <c r="D96" s="5" t="inlineStr">
        <is>
          <t>Sidolux UNIVERSAL</t>
        </is>
      </c>
      <c r="E96" s="4" t="inlineStr">
        <is>
          <t>1000ml</t>
        </is>
      </c>
      <c r="F96" s="6" t="n"/>
      <c r="G96" s="7" t="n">
        <v>21</v>
      </c>
      <c r="H96" s="8">
        <f>F96*(1+G96/100)</f>
        <v/>
      </c>
      <c r="I96" s="9" t="n"/>
      <c r="J96" s="7" t="n">
        <v>23</v>
      </c>
      <c r="K96" s="10">
        <f>I96*(1+J96/100)</f>
        <v/>
      </c>
      <c r="L96" s="11" t="inlineStr">
        <is>
          <t>Polsko</t>
        </is>
      </c>
      <c r="M96" s="12" t="n"/>
      <c r="N96" s="13" t="n"/>
      <c r="O96" s="13" t="n"/>
      <c r="P96" s="12" t="n"/>
    </row>
    <row r="97">
      <c r="A97" s="4" t="inlineStr">
        <is>
          <t>1010511</t>
        </is>
      </c>
      <c r="B97" s="5" t="inlineStr">
        <is>
          <t>SIDOLUX Universal Pink cream 1000 ml</t>
        </is>
      </c>
      <c r="C97" s="4" t="inlineStr">
        <is>
          <t>5902986207198</t>
        </is>
      </c>
      <c r="D97" s="5" t="inlineStr">
        <is>
          <t>Sidolux UNIVERSAL</t>
        </is>
      </c>
      <c r="E97" s="4" t="inlineStr">
        <is>
          <t>1000ml</t>
        </is>
      </c>
      <c r="F97" s="6" t="n"/>
      <c r="G97" s="7" t="n">
        <v>21</v>
      </c>
      <c r="H97" s="8">
        <f>F97*(1+G97/100)</f>
        <v/>
      </c>
      <c r="I97" s="9" t="n"/>
      <c r="J97" s="7" t="n">
        <v>23</v>
      </c>
      <c r="K97" s="10">
        <f>I97*(1+J97/100)</f>
        <v/>
      </c>
      <c r="L97" s="11" t="inlineStr">
        <is>
          <t>Polsko</t>
        </is>
      </c>
      <c r="M97" s="12" t="n"/>
      <c r="N97" s="13" t="n"/>
      <c r="O97" s="13" t="n"/>
      <c r="P97" s="12" t="n"/>
    </row>
    <row r="98">
      <c r="A98" s="4" t="inlineStr">
        <is>
          <t>1010512</t>
        </is>
      </c>
      <c r="B98" s="5" t="inlineStr">
        <is>
          <t>SIDOLUX Universal Fresh lemon 5000 ml</t>
        </is>
      </c>
      <c r="C98" s="4" t="inlineStr">
        <is>
          <t>5907542749907</t>
        </is>
      </c>
      <c r="D98" s="5" t="inlineStr">
        <is>
          <t>Sidolux UNIVERSAL</t>
        </is>
      </c>
      <c r="E98" s="4" t="inlineStr">
        <is>
          <t>5000ml</t>
        </is>
      </c>
      <c r="F98" s="6" t="n"/>
      <c r="G98" s="7" t="n">
        <v>21</v>
      </c>
      <c r="H98" s="8">
        <f>F98*(1+G98/100)</f>
        <v/>
      </c>
      <c r="I98" s="9" t="n"/>
      <c r="J98" s="7" t="n">
        <v>23</v>
      </c>
      <c r="K98" s="10">
        <f>I98*(1+J98/100)</f>
        <v/>
      </c>
      <c r="L98" s="11" t="inlineStr">
        <is>
          <t>Polsko</t>
        </is>
      </c>
      <c r="M98" s="12" t="n"/>
      <c r="N98" s="13" t="n"/>
      <c r="O98" s="13" t="n"/>
      <c r="P98" s="12" t="n"/>
    </row>
    <row r="99">
      <c r="A99" s="4" t="inlineStr">
        <is>
          <t>1010513</t>
        </is>
      </c>
      <c r="B99" s="5" t="inlineStr">
        <is>
          <t>SIDOLUX Universal Marseille soap 5000 ml</t>
        </is>
      </c>
      <c r="C99" s="4" t="inlineStr">
        <is>
          <t>5902986205286</t>
        </is>
      </c>
      <c r="D99" s="5" t="inlineStr">
        <is>
          <t>Sidolux UNIVERSAL</t>
        </is>
      </c>
      <c r="E99" s="4" t="inlineStr">
        <is>
          <t>5000ml</t>
        </is>
      </c>
      <c r="F99" s="6" t="n"/>
      <c r="G99" s="7" t="n">
        <v>21</v>
      </c>
      <c r="H99" s="8">
        <f>F99*(1+G99/100)</f>
        <v/>
      </c>
      <c r="I99" s="9" t="n"/>
      <c r="J99" s="7" t="n">
        <v>23</v>
      </c>
      <c r="K99" s="10">
        <f>I99*(1+J99/100)</f>
        <v/>
      </c>
      <c r="L99" s="11" t="inlineStr">
        <is>
          <t>Polsko</t>
        </is>
      </c>
      <c r="M99" s="12" t="n"/>
      <c r="N99" s="13" t="n"/>
      <c r="O99" s="13" t="n"/>
      <c r="P99" s="12" t="n"/>
    </row>
    <row r="100">
      <c r="A100" s="4" t="inlineStr">
        <is>
          <t>1010514</t>
        </is>
      </c>
      <c r="B100" s="5" t="inlineStr">
        <is>
          <t>SIDOLUX Universal Green grapes 5000 ml</t>
        </is>
      </c>
      <c r="C100" s="4" t="inlineStr">
        <is>
          <t>5902986204302</t>
        </is>
      </c>
      <c r="D100" s="5" t="inlineStr">
        <is>
          <t>Sidolux UNIVERSAL</t>
        </is>
      </c>
      <c r="E100" s="4" t="inlineStr">
        <is>
          <t>5000ml</t>
        </is>
      </c>
      <c r="F100" s="6" t="n"/>
      <c r="G100" s="7" t="n">
        <v>21</v>
      </c>
      <c r="H100" s="8">
        <f>F100*(1+G100/100)</f>
        <v/>
      </c>
      <c r="I100" s="9" t="n"/>
      <c r="J100" s="7" t="n">
        <v>23</v>
      </c>
      <c r="K100" s="10">
        <f>I100*(1+J100/100)</f>
        <v/>
      </c>
      <c r="L100" s="11" t="inlineStr">
        <is>
          <t>Polsko</t>
        </is>
      </c>
      <c r="M100" s="12" t="n"/>
      <c r="N100" s="13" t="n"/>
      <c r="O100" s="13" t="n"/>
      <c r="P100" s="12" t="n"/>
    </row>
    <row r="101">
      <c r="A101" s="4" t="inlineStr">
        <is>
          <t>1010515</t>
        </is>
      </c>
      <c r="B101" s="5" t="inlineStr">
        <is>
          <t>SIDOLUX Universal Marseille soap lavender 5000 ml</t>
        </is>
      </c>
      <c r="C101" s="4" t="inlineStr">
        <is>
          <t>5902986217623</t>
        </is>
      </c>
      <c r="D101" s="5" t="inlineStr">
        <is>
          <t>Sidolux UNIVERSAL</t>
        </is>
      </c>
      <c r="E101" s="4" t="inlineStr">
        <is>
          <t>5000ml</t>
        </is>
      </c>
      <c r="F101" s="6" t="n"/>
      <c r="G101" s="7" t="n">
        <v>21</v>
      </c>
      <c r="H101" s="8">
        <f>F101*(1+G101/100)</f>
        <v/>
      </c>
      <c r="I101" s="9" t="n"/>
      <c r="J101" s="7" t="n">
        <v>23</v>
      </c>
      <c r="K101" s="10">
        <f>I101*(1+J101/100)</f>
        <v/>
      </c>
      <c r="L101" s="11" t="inlineStr">
        <is>
          <t>Polsko</t>
        </is>
      </c>
      <c r="M101" s="12" t="n"/>
      <c r="N101" s="13" t="n"/>
      <c r="O101" s="13" t="n"/>
      <c r="P101" s="12" t="n"/>
    </row>
    <row r="102">
      <c r="A102" s="4" t="inlineStr">
        <is>
          <t>1010517</t>
        </is>
      </c>
      <c r="B102" s="5" t="inlineStr">
        <is>
          <t>SIDOLUX Universal Blue Flower 5000 ml</t>
        </is>
      </c>
      <c r="C102" s="4" t="inlineStr">
        <is>
          <t>5902986209802</t>
        </is>
      </c>
      <c r="D102" s="5" t="inlineStr">
        <is>
          <t>Sidolux UNIVERSAL</t>
        </is>
      </c>
      <c r="E102" s="4" t="inlineStr">
        <is>
          <t>5000ml</t>
        </is>
      </c>
      <c r="F102" s="6" t="n"/>
      <c r="G102" s="7" t="n">
        <v>21</v>
      </c>
      <c r="H102" s="8">
        <f>F102*(1+G102/100)</f>
        <v/>
      </c>
      <c r="I102" s="9" t="n"/>
      <c r="J102" s="7" t="n">
        <v>23</v>
      </c>
      <c r="K102" s="10">
        <f>I102*(1+J102/100)</f>
        <v/>
      </c>
      <c r="L102" s="11" t="inlineStr">
        <is>
          <t>Polsko</t>
        </is>
      </c>
      <c r="M102" s="12" t="n"/>
      <c r="N102" s="13" t="n"/>
      <c r="O102" s="13" t="n"/>
      <c r="P102" s="12" t="n"/>
    </row>
    <row r="103">
      <c r="A103" s="4" t="inlineStr">
        <is>
          <t>1010518</t>
        </is>
      </c>
      <c r="B103" s="5" t="inlineStr">
        <is>
          <t>SIDOLUX Universal Cotton with peony 5000 ml</t>
        </is>
      </c>
      <c r="C103" s="4" t="inlineStr">
        <is>
          <t>5902986216145</t>
        </is>
      </c>
      <c r="D103" s="5" t="inlineStr">
        <is>
          <t>Sidolux UNIVERSAL</t>
        </is>
      </c>
      <c r="E103" s="4" t="inlineStr">
        <is>
          <t>5000ml</t>
        </is>
      </c>
      <c r="F103" s="6" t="n"/>
      <c r="G103" s="7" t="n">
        <v>21</v>
      </c>
      <c r="H103" s="8">
        <f>F103*(1+G103/100)</f>
        <v/>
      </c>
      <c r="I103" s="9" t="n"/>
      <c r="J103" s="7" t="n">
        <v>23</v>
      </c>
      <c r="K103" s="10">
        <f>I103*(1+J103/100)</f>
        <v/>
      </c>
      <c r="L103" s="11" t="inlineStr">
        <is>
          <t>Polsko</t>
        </is>
      </c>
      <c r="M103" s="12" t="n"/>
      <c r="N103" s="13" t="n"/>
      <c r="O103" s="13" t="n"/>
      <c r="P103" s="12" t="n"/>
    </row>
    <row r="104">
      <c r="A104" s="4" t="inlineStr">
        <is>
          <t>1010519</t>
        </is>
      </c>
      <c r="B104" s="5" t="inlineStr">
        <is>
          <t>SIDOLUX Universal Winter time 1000 ml</t>
        </is>
      </c>
      <c r="C104" s="4" t="inlineStr">
        <is>
          <t>5907542750866</t>
        </is>
      </c>
      <c r="D104" s="5" t="inlineStr">
        <is>
          <t>Sidolux UNIVERSAL</t>
        </is>
      </c>
      <c r="E104" s="4" t="inlineStr">
        <is>
          <t>1000ml</t>
        </is>
      </c>
      <c r="F104" s="6" t="n"/>
      <c r="G104" s="7" t="n">
        <v>21</v>
      </c>
      <c r="H104" s="8">
        <f>F104*(1+G104/100)</f>
        <v/>
      </c>
      <c r="I104" s="9" t="n"/>
      <c r="J104" s="7" t="n">
        <v>23</v>
      </c>
      <c r="K104" s="10">
        <f>I104*(1+J104/100)</f>
        <v/>
      </c>
      <c r="L104" s="11" t="inlineStr">
        <is>
          <t>Polsko</t>
        </is>
      </c>
      <c r="M104" s="12" t="n"/>
      <c r="N104" s="13" t="n"/>
      <c r="O104" s="13" t="n"/>
      <c r="P104" s="12" t="n"/>
    </row>
    <row r="105">
      <c r="A105" s="4" t="inlineStr">
        <is>
          <t>1010520</t>
        </is>
      </c>
      <c r="B105" s="5" t="inlineStr">
        <is>
          <t>SIDOLUX Universal Baltic amber 1000 ml</t>
        </is>
      </c>
      <c r="C105" s="4" t="inlineStr">
        <is>
          <t>5902986215162</t>
        </is>
      </c>
      <c r="D105" s="5" t="inlineStr">
        <is>
          <t>Sidolux UNIVERSAL</t>
        </is>
      </c>
      <c r="E105" s="4" t="inlineStr">
        <is>
          <t>1000ml</t>
        </is>
      </c>
      <c r="F105" s="6" t="n"/>
      <c r="G105" s="7" t="n">
        <v>21</v>
      </c>
      <c r="H105" s="8">
        <f>F105*(1+G105/100)</f>
        <v/>
      </c>
      <c r="I105" s="9" t="n"/>
      <c r="J105" s="7" t="n">
        <v>23</v>
      </c>
      <c r="K105" s="10">
        <f>I105*(1+J105/100)</f>
        <v/>
      </c>
      <c r="L105" s="11" t="inlineStr">
        <is>
          <t>Polsko</t>
        </is>
      </c>
      <c r="M105" s="12" t="n"/>
      <c r="N105" s="13" t="n"/>
      <c r="O105" s="13" t="n"/>
      <c r="P105" s="12" t="n"/>
    </row>
    <row r="106">
      <c r="A106" s="4" t="inlineStr">
        <is>
          <t>1010521</t>
        </is>
      </c>
      <c r="B106" s="5" t="inlineStr">
        <is>
          <t>SIDOLUX Universal Flax blossom 1000 ml</t>
        </is>
      </c>
      <c r="C106" s="4" t="inlineStr">
        <is>
          <t>5902986215148</t>
        </is>
      </c>
      <c r="D106" s="5" t="inlineStr">
        <is>
          <t>Sidolux UNIVERSAL</t>
        </is>
      </c>
      <c r="E106" s="4" t="inlineStr">
        <is>
          <t>1000ml</t>
        </is>
      </c>
      <c r="F106" s="6" t="n"/>
      <c r="G106" s="7" t="n">
        <v>21</v>
      </c>
      <c r="H106" s="8">
        <f>F106*(1+G106/100)</f>
        <v/>
      </c>
      <c r="I106" s="9" t="n"/>
      <c r="J106" s="7" t="n">
        <v>23</v>
      </c>
      <c r="K106" s="10">
        <f>I106*(1+J106/100)</f>
        <v/>
      </c>
      <c r="L106" s="11" t="inlineStr">
        <is>
          <t>Polsko</t>
        </is>
      </c>
      <c r="M106" s="12" t="n"/>
      <c r="N106" s="13" t="n"/>
      <c r="O106" s="13" t="n"/>
      <c r="P106" s="12" t="n"/>
    </row>
    <row r="107">
      <c r="A107" s="4" t="inlineStr">
        <is>
          <t>1010522</t>
        </is>
      </c>
      <c r="B107" s="5" t="inlineStr">
        <is>
          <t>SIDOLUX Universal Lemongrass 1000 ml</t>
        </is>
      </c>
      <c r="C107" s="4" t="inlineStr">
        <is>
          <t>5902986215209</t>
        </is>
      </c>
      <c r="D107" s="5" t="inlineStr">
        <is>
          <t>Sidolux UNIVERSAL</t>
        </is>
      </c>
      <c r="E107" s="4" t="inlineStr">
        <is>
          <t>1000ml</t>
        </is>
      </c>
      <c r="F107" s="6" t="n"/>
      <c r="G107" s="7" t="n">
        <v>21</v>
      </c>
      <c r="H107" s="8">
        <f>F107*(1+G107/100)</f>
        <v/>
      </c>
      <c r="I107" s="9" t="n"/>
      <c r="J107" s="7" t="n">
        <v>23</v>
      </c>
      <c r="K107" s="10">
        <f>I107*(1+J107/100)</f>
        <v/>
      </c>
      <c r="L107" s="11" t="inlineStr">
        <is>
          <t>Polsko</t>
        </is>
      </c>
      <c r="M107" s="12" t="n"/>
      <c r="N107" s="13" t="n"/>
      <c r="O107" s="13" t="n"/>
      <c r="P107" s="12" t="n"/>
    </row>
    <row r="108">
      <c r="A108" s="4" t="inlineStr">
        <is>
          <t>1010523</t>
        </is>
      </c>
      <c r="B108" s="5" t="inlineStr">
        <is>
          <t>SIDOLUX Universal Green tea with cherry blossoms 1000 ml</t>
        </is>
      </c>
      <c r="C108" s="4" t="inlineStr">
        <is>
          <t>5902986215186</t>
        </is>
      </c>
      <c r="D108" s="5" t="inlineStr">
        <is>
          <t>Sidolux UNIVERSAL</t>
        </is>
      </c>
      <c r="E108" s="4" t="inlineStr">
        <is>
          <t>1000ml</t>
        </is>
      </c>
      <c r="F108" s="6" t="n"/>
      <c r="G108" s="7" t="n">
        <v>21</v>
      </c>
      <c r="H108" s="8">
        <f>F108*(1+G108/100)</f>
        <v/>
      </c>
      <c r="I108" s="9" t="n"/>
      <c r="J108" s="7" t="n">
        <v>23</v>
      </c>
      <c r="K108" s="10">
        <f>I108*(1+J108/100)</f>
        <v/>
      </c>
      <c r="L108" s="11" t="inlineStr">
        <is>
          <t>Polsko</t>
        </is>
      </c>
      <c r="M108" s="12" t="n"/>
      <c r="N108" s="13" t="n"/>
      <c r="O108" s="13" t="n"/>
      <c r="P108" s="12" t="n"/>
    </row>
    <row r="109">
      <c r="A109" s="4" t="inlineStr">
        <is>
          <t>1010524</t>
        </is>
      </c>
      <c r="B109" s="5" t="inlineStr">
        <is>
          <t>SIDOLUX Universal Cotton with peony 1000 ml</t>
        </is>
      </c>
      <c r="C109" s="4" t="inlineStr">
        <is>
          <t>5902986215551</t>
        </is>
      </c>
      <c r="D109" s="5" t="inlineStr">
        <is>
          <t>Sidolux UNIVERSAL</t>
        </is>
      </c>
      <c r="E109" s="4" t="inlineStr">
        <is>
          <t>1000ml</t>
        </is>
      </c>
      <c r="F109" s="6" t="n"/>
      <c r="G109" s="7" t="n">
        <v>21</v>
      </c>
      <c r="H109" s="8">
        <f>F109*(1+G109/100)</f>
        <v/>
      </c>
      <c r="I109" s="9" t="n"/>
      <c r="J109" s="7" t="n">
        <v>23</v>
      </c>
      <c r="K109" s="10">
        <f>I109*(1+J109/100)</f>
        <v/>
      </c>
      <c r="L109" s="11" t="inlineStr">
        <is>
          <t>Polsko</t>
        </is>
      </c>
      <c r="M109" s="12" t="n"/>
      <c r="N109" s="13" t="n"/>
      <c r="O109" s="13" t="n"/>
      <c r="P109" s="12" t="n"/>
    </row>
    <row r="110">
      <c r="A110" s="4" t="inlineStr">
        <is>
          <t>1010525</t>
        </is>
      </c>
      <c r="B110" s="5" t="inlineStr">
        <is>
          <t>SIDOLUX Universal Japanese cherry 1000 ml</t>
        </is>
      </c>
      <c r="C110" s="4" t="inlineStr">
        <is>
          <t>5902986201424</t>
        </is>
      </c>
      <c r="D110" s="5" t="inlineStr">
        <is>
          <t>Sidolux UNIVERSAL</t>
        </is>
      </c>
      <c r="E110" s="4" t="inlineStr">
        <is>
          <t>1000ml</t>
        </is>
      </c>
      <c r="F110" s="6" t="n"/>
      <c r="G110" s="7" t="n">
        <v>21</v>
      </c>
      <c r="H110" s="8">
        <f>F110*(1+G110/100)</f>
        <v/>
      </c>
      <c r="I110" s="9" t="n"/>
      <c r="J110" s="7" t="n">
        <v>23</v>
      </c>
      <c r="K110" s="10">
        <f>I110*(1+J110/100)</f>
        <v/>
      </c>
      <c r="L110" s="11" t="inlineStr">
        <is>
          <t>Polsko</t>
        </is>
      </c>
      <c r="M110" s="12" t="n"/>
      <c r="N110" s="13" t="n"/>
      <c r="O110" s="13" t="n"/>
      <c r="P110" s="12" t="n"/>
    </row>
    <row r="111">
      <c r="A111" s="4" t="inlineStr">
        <is>
          <t>1010526</t>
        </is>
      </c>
      <c r="B111" s="5" t="inlineStr">
        <is>
          <t>SIDOLUX Universal Winter magic 1000 ml</t>
        </is>
      </c>
      <c r="C111" s="4" t="inlineStr">
        <is>
          <t>5902986217920</t>
        </is>
      </c>
      <c r="D111" s="5" t="inlineStr">
        <is>
          <t>Sidolux UNIVERSAL</t>
        </is>
      </c>
      <c r="E111" s="4" t="inlineStr">
        <is>
          <t>1000ml</t>
        </is>
      </c>
      <c r="F111" s="6" t="n"/>
      <c r="G111" s="7" t="n">
        <v>21</v>
      </c>
      <c r="H111" s="8">
        <f>F111*(1+G111/100)</f>
        <v/>
      </c>
      <c r="I111" s="9" t="n"/>
      <c r="J111" s="7" t="n">
        <v>23</v>
      </c>
      <c r="K111" s="10">
        <f>I111*(1+J111/100)</f>
        <v/>
      </c>
      <c r="L111" s="11" t="inlineStr">
        <is>
          <t>Polsko</t>
        </is>
      </c>
      <c r="M111" s="12" t="n"/>
      <c r="N111" s="13" t="n"/>
      <c r="O111" s="13" t="n"/>
      <c r="P111" s="12" t="n"/>
    </row>
    <row r="112">
      <c r="A112" s="4" t="inlineStr">
        <is>
          <t>1010527</t>
        </is>
      </c>
      <c r="B112" s="5" t="inlineStr">
        <is>
          <t>SIDOLUX Universal Japanese cherry 5000 ml</t>
        </is>
      </c>
      <c r="C112" s="4" t="inlineStr">
        <is>
          <t>5902986200595</t>
        </is>
      </c>
      <c r="D112" s="5" t="inlineStr">
        <is>
          <t>Sidolux UNIVERSAL</t>
        </is>
      </c>
      <c r="E112" s="4" t="inlineStr">
        <is>
          <t>5000ml</t>
        </is>
      </c>
      <c r="F112" s="6" t="n"/>
      <c r="G112" s="7" t="n">
        <v>21</v>
      </c>
      <c r="H112" s="8">
        <f>F112*(1+G112/100)</f>
        <v/>
      </c>
      <c r="I112" s="9" t="n"/>
      <c r="J112" s="7" t="n">
        <v>23</v>
      </c>
      <c r="K112" s="10">
        <f>I112*(1+J112/100)</f>
        <v/>
      </c>
      <c r="L112" s="11" t="inlineStr">
        <is>
          <t>Polsko</t>
        </is>
      </c>
      <c r="M112" s="12" t="n"/>
      <c r="N112" s="13" t="n"/>
      <c r="O112" s="13" t="n"/>
      <c r="P112" s="12" t="n"/>
    </row>
    <row r="113">
      <c r="A113" s="4" t="inlineStr">
        <is>
          <t>1010528</t>
        </is>
      </c>
      <c r="B113" s="5" t="inlineStr">
        <is>
          <t>SIDOLUX Universal Argan marseille soap 1000 ml</t>
        </is>
      </c>
      <c r="C113" s="4" t="inlineStr">
        <is>
          <t>5902986216275</t>
        </is>
      </c>
      <c r="D113" s="5" t="inlineStr">
        <is>
          <t>Sidolux UNIVERSAL</t>
        </is>
      </c>
      <c r="E113" s="4" t="inlineStr">
        <is>
          <t>1000ml</t>
        </is>
      </c>
      <c r="F113" s="6" t="n"/>
      <c r="G113" s="7" t="n">
        <v>21</v>
      </c>
      <c r="H113" s="8">
        <f>F113*(1+G113/100)</f>
        <v/>
      </c>
      <c r="I113" s="9" t="n"/>
      <c r="J113" s="7" t="n">
        <v>23</v>
      </c>
      <c r="K113" s="10">
        <f>I113*(1+J113/100)</f>
        <v/>
      </c>
      <c r="L113" s="11" t="inlineStr">
        <is>
          <t>Polsko</t>
        </is>
      </c>
      <c r="M113" s="12" t="n"/>
      <c r="N113" s="13" t="n"/>
      <c r="O113" s="13" t="n"/>
      <c r="P113" s="12" t="n"/>
    </row>
    <row r="114">
      <c r="A114" s="4" t="inlineStr">
        <is>
          <t>1010551</t>
        </is>
      </c>
      <c r="B114" s="5" t="inlineStr">
        <is>
          <t>SIDOLUX Universal Mix karton Lidl 1000 ml</t>
        </is>
      </c>
      <c r="C114" s="4" t="inlineStr">
        <is>
          <t>5902986216251</t>
        </is>
      </c>
      <c r="D114" s="5" t="inlineStr">
        <is>
          <t>Sidolux UNIVERSAL</t>
        </is>
      </c>
      <c r="E114" s="4" t="inlineStr">
        <is>
          <t>1000ml</t>
        </is>
      </c>
      <c r="F114" s="6" t="n"/>
      <c r="G114" s="7" t="n">
        <v>21</v>
      </c>
      <c r="H114" s="8">
        <f>F114*(1+G114/100)</f>
        <v/>
      </c>
      <c r="I114" s="9" t="n"/>
      <c r="J114" s="7" t="n">
        <v>23</v>
      </c>
      <c r="K114" s="10">
        <f>I114*(1+J114/100)</f>
        <v/>
      </c>
      <c r="L114" s="11" t="inlineStr">
        <is>
          <t>Polsko</t>
        </is>
      </c>
      <c r="M114" s="12" t="n"/>
      <c r="N114" s="13" t="n"/>
      <c r="O114" s="13" t="n"/>
      <c r="P114" s="12" t="n"/>
    </row>
    <row r="115">
      <c r="A115" s="4" t="inlineStr">
        <is>
          <t>1010560</t>
        </is>
      </c>
      <c r="B115" s="5" t="inlineStr">
        <is>
          <t>SIDOLUX Universal Marseille soap 10000 ml</t>
        </is>
      </c>
      <c r="C115" s="4" t="inlineStr">
        <is>
          <t>5902986213236</t>
        </is>
      </c>
      <c r="D115" s="5" t="inlineStr">
        <is>
          <t>Sidolux UNIVERSAL</t>
        </is>
      </c>
      <c r="E115" s="4" t="inlineStr">
        <is>
          <t>10000ml</t>
        </is>
      </c>
      <c r="F115" s="6" t="n"/>
      <c r="G115" s="7" t="n">
        <v>21</v>
      </c>
      <c r="H115" s="8">
        <f>F115*(1+G115/100)</f>
        <v/>
      </c>
      <c r="I115" s="9" t="n"/>
      <c r="J115" s="7" t="n">
        <v>23</v>
      </c>
      <c r="K115" s="10">
        <f>I115*(1+J115/100)</f>
        <v/>
      </c>
      <c r="L115" s="11" t="inlineStr">
        <is>
          <t>Polsko</t>
        </is>
      </c>
      <c r="M115" s="12" t="n"/>
      <c r="N115" s="13" t="n"/>
      <c r="O115" s="13" t="n"/>
      <c r="P115" s="12" t="n"/>
    </row>
    <row r="116">
      <c r="A116" s="4" t="inlineStr">
        <is>
          <t>1010561</t>
        </is>
      </c>
      <c r="B116" s="5" t="inlineStr">
        <is>
          <t>SIDOLUX Universal Marseille soap 20000 ml</t>
        </is>
      </c>
      <c r="C116" s="4" t="inlineStr">
        <is>
          <t>5902986213243</t>
        </is>
      </c>
      <c r="D116" s="5" t="inlineStr">
        <is>
          <t>Sidolux UNIVERSAL</t>
        </is>
      </c>
      <c r="E116" s="4" t="inlineStr">
        <is>
          <t>20000ml</t>
        </is>
      </c>
      <c r="F116" s="6" t="n"/>
      <c r="G116" s="7" t="n">
        <v>21</v>
      </c>
      <c r="H116" s="8">
        <f>F116*(1+G116/100)</f>
        <v/>
      </c>
      <c r="I116" s="9" t="n"/>
      <c r="J116" s="7" t="n">
        <v>23</v>
      </c>
      <c r="K116" s="10">
        <f>I116*(1+J116/100)</f>
        <v/>
      </c>
      <c r="L116" s="11" t="inlineStr">
        <is>
          <t>Polsko</t>
        </is>
      </c>
      <c r="M116" s="12" t="n"/>
      <c r="N116" s="13" t="n"/>
      <c r="O116" s="13" t="n"/>
      <c r="P116" s="12" t="n"/>
    </row>
    <row r="117">
      <c r="A117" s="4" t="inlineStr">
        <is>
          <t>5000011</t>
        </is>
      </c>
      <c r="B117" s="5" t="inlineStr">
        <is>
          <t>SIDOLUX Universal Japanese cherry vzorek 35 ml</t>
        </is>
      </c>
      <c r="C117" s="4" t="inlineStr">
        <is>
          <t>5902986216749</t>
        </is>
      </c>
      <c r="D117" s="5" t="inlineStr">
        <is>
          <t>Sidolux UNIVERSAL</t>
        </is>
      </c>
      <c r="E117" s="4" t="inlineStr">
        <is>
          <t>35ml</t>
        </is>
      </c>
      <c r="F117" s="6" t="n"/>
      <c r="G117" s="7" t="n">
        <v>21</v>
      </c>
      <c r="H117" s="8">
        <f>F117*(1+G117/100)</f>
        <v/>
      </c>
      <c r="I117" s="9" t="n"/>
      <c r="J117" s="7" t="n">
        <v>23</v>
      </c>
      <c r="K117" s="10">
        <f>I117*(1+J117/100)</f>
        <v/>
      </c>
      <c r="L117" s="11" t="inlineStr">
        <is>
          <t>Polsko</t>
        </is>
      </c>
      <c r="M117" s="12" t="n"/>
      <c r="N117" s="13" t="n"/>
      <c r="O117" s="13" t="n"/>
      <c r="P117" s="12" t="n"/>
    </row>
    <row r="118">
      <c r="A118" s="4" t="inlineStr">
        <is>
          <t>5000012</t>
        </is>
      </c>
      <c r="B118" s="5" t="inlineStr">
        <is>
          <t>SIDOLUX Universal Marseille soap vzorek 35 ml</t>
        </is>
      </c>
      <c r="C118" s="4" t="inlineStr">
        <is>
          <t>5902986216725</t>
        </is>
      </c>
      <c r="D118" s="5" t="inlineStr">
        <is>
          <t>Sidolux UNIVERSAL</t>
        </is>
      </c>
      <c r="E118" s="4" t="inlineStr">
        <is>
          <t>35ml</t>
        </is>
      </c>
      <c r="F118" s="6" t="n"/>
      <c r="G118" s="7" t="n">
        <v>21</v>
      </c>
      <c r="H118" s="8">
        <f>F118*(1+G118/100)</f>
        <v/>
      </c>
      <c r="I118" s="9" t="n"/>
      <c r="J118" s="7" t="n">
        <v>23</v>
      </c>
      <c r="K118" s="10">
        <f>I118*(1+J118/100)</f>
        <v/>
      </c>
      <c r="L118" s="11" t="inlineStr">
        <is>
          <t>Polsko</t>
        </is>
      </c>
      <c r="M118" s="12" t="n"/>
      <c r="N118" s="13" t="n"/>
      <c r="O118" s="13" t="n"/>
      <c r="P118" s="12" t="n"/>
    </row>
    <row r="119">
      <c r="A119" s="4" t="inlineStr">
        <is>
          <t>5000013</t>
        </is>
      </c>
      <c r="B119" s="5" t="inlineStr">
        <is>
          <t>SIDOLUX Universal Marseille soap lavender vzorek 35 ml</t>
        </is>
      </c>
      <c r="C119" s="4" t="inlineStr">
        <is>
          <t>5902986217647</t>
        </is>
      </c>
      <c r="D119" s="5" t="inlineStr">
        <is>
          <t>Sidolux UNIVERSAL</t>
        </is>
      </c>
      <c r="E119" s="4" t="inlineStr">
        <is>
          <t>35ml</t>
        </is>
      </c>
      <c r="F119" s="6" t="n"/>
      <c r="G119" s="7" t="n">
        <v>21</v>
      </c>
      <c r="H119" s="8">
        <f>F119*(1+G119/100)</f>
        <v/>
      </c>
      <c r="I119" s="9" t="n"/>
      <c r="J119" s="7" t="n">
        <v>23</v>
      </c>
      <c r="K119" s="10">
        <f>I119*(1+J119/100)</f>
        <v/>
      </c>
      <c r="L119" s="11" t="inlineStr">
        <is>
          <t>Polsko</t>
        </is>
      </c>
      <c r="M119" s="12" t="n"/>
      <c r="N119" s="13" t="n"/>
      <c r="O119" s="13" t="n"/>
      <c r="P119" s="12" t="n"/>
    </row>
    <row r="120">
      <c r="A120" s="4" t="inlineStr">
        <is>
          <t>5000020</t>
        </is>
      </c>
      <c r="B120" s="5" t="inlineStr">
        <is>
          <t>SIDOLUX Universal Mix karton Penny 500 ml</t>
        </is>
      </c>
      <c r="C120" s="4" t="inlineStr">
        <is>
          <t>5902986218156</t>
        </is>
      </c>
      <c r="D120" s="5" t="inlineStr">
        <is>
          <t>Sidolux UNIVERSAL</t>
        </is>
      </c>
      <c r="E120" s="4" t="inlineStr">
        <is>
          <t>500ml</t>
        </is>
      </c>
      <c r="F120" s="6" t="n"/>
      <c r="G120" s="7" t="n">
        <v>21</v>
      </c>
      <c r="H120" s="8">
        <f>F120*(1+G120/100)</f>
        <v/>
      </c>
      <c r="I120" s="9" t="n"/>
      <c r="J120" s="7" t="n">
        <v>23</v>
      </c>
      <c r="K120" s="10">
        <f>I120*(1+J120/100)</f>
        <v/>
      </c>
      <c r="L120" s="11" t="inlineStr">
        <is>
          <t>Polsko</t>
        </is>
      </c>
      <c r="M120" s="12" t="n"/>
      <c r="N120" s="13" t="n"/>
      <c r="O120" s="13" t="n"/>
      <c r="P120" s="12" t="n"/>
    </row>
    <row r="121">
      <c r="A121" s="4" t="inlineStr">
        <is>
          <t>1012003</t>
        </is>
      </c>
      <c r="B121" s="5" t="inlineStr">
        <is>
          <t>SIDOLUX Okna a zrcadla Japanese cherry 750 ml</t>
        </is>
      </c>
      <c r="C121" s="4" t="inlineStr">
        <is>
          <t>5902986212215</t>
        </is>
      </c>
      <c r="D121" s="5" t="inlineStr">
        <is>
          <t>Sidolux WINDOW</t>
        </is>
      </c>
      <c r="E121" s="4" t="inlineStr">
        <is>
          <t>750ml</t>
        </is>
      </c>
      <c r="F121" s="6" t="n"/>
      <c r="G121" s="7" t="n">
        <v>21</v>
      </c>
      <c r="H121" s="8">
        <f>F121*(1+G121/100)</f>
        <v/>
      </c>
      <c r="I121" s="9" t="n"/>
      <c r="J121" s="7" t="n">
        <v>23</v>
      </c>
      <c r="K121" s="10">
        <f>I121*(1+J121/100)</f>
        <v/>
      </c>
      <c r="L121" s="11" t="inlineStr">
        <is>
          <t>Polsko</t>
        </is>
      </c>
      <c r="M121" s="12" t="n"/>
      <c r="N121" s="13" t="n"/>
      <c r="O121" s="13" t="n"/>
      <c r="P121" s="12" t="n"/>
    </row>
    <row r="122">
      <c r="A122" s="4" t="inlineStr">
        <is>
          <t>1012004</t>
        </is>
      </c>
      <c r="B122" s="5" t="inlineStr">
        <is>
          <t>SIDOLUX Okna a zrcadla Lemon 750 ml</t>
        </is>
      </c>
      <c r="C122" s="4" t="inlineStr">
        <is>
          <t>5902986203978</t>
        </is>
      </c>
      <c r="D122" s="5" t="inlineStr">
        <is>
          <t>Sidolux WINDOW</t>
        </is>
      </c>
      <c r="E122" s="4" t="inlineStr">
        <is>
          <t>750ml</t>
        </is>
      </c>
      <c r="F122" s="6" t="n"/>
      <c r="G122" s="7" t="n">
        <v>21</v>
      </c>
      <c r="H122" s="8">
        <f>F122*(1+G122/100)</f>
        <v/>
      </c>
      <c r="I122" s="9" t="n"/>
      <c r="J122" s="7" t="n">
        <v>23</v>
      </c>
      <c r="K122" s="10">
        <f>I122*(1+J122/100)</f>
        <v/>
      </c>
      <c r="L122" s="11" t="inlineStr">
        <is>
          <t>Polsko</t>
        </is>
      </c>
      <c r="M122" s="12" t="n"/>
      <c r="N122" s="13" t="n"/>
      <c r="O122" s="13" t="n"/>
      <c r="P122" s="12" t="n"/>
    </row>
    <row r="123">
      <c r="A123" s="4" t="inlineStr">
        <is>
          <t>1012005</t>
        </is>
      </c>
      <c r="B123" s="5" t="inlineStr">
        <is>
          <t>SIDOLUX Okna a zrcadla Arctic 750 ml</t>
        </is>
      </c>
      <c r="C123" s="4" t="inlineStr">
        <is>
          <t>5902986203954</t>
        </is>
      </c>
      <c r="D123" s="5" t="inlineStr">
        <is>
          <t>Sidolux WINDOW</t>
        </is>
      </c>
      <c r="E123" s="4" t="inlineStr">
        <is>
          <t>750ml</t>
        </is>
      </c>
      <c r="F123" s="6" t="n"/>
      <c r="G123" s="7" t="n">
        <v>21</v>
      </c>
      <c r="H123" s="8">
        <f>F123*(1+G123/100)</f>
        <v/>
      </c>
      <c r="I123" s="9" t="n"/>
      <c r="J123" s="7" t="n">
        <v>23</v>
      </c>
      <c r="K123" s="10">
        <f>I123*(1+J123/100)</f>
        <v/>
      </c>
      <c r="L123" s="11" t="inlineStr">
        <is>
          <t>Polsko</t>
        </is>
      </c>
      <c r="M123" s="12" t="n"/>
      <c r="N123" s="13" t="n"/>
      <c r="O123" s="13" t="n"/>
      <c r="P123" s="12" t="n"/>
    </row>
    <row r="124">
      <c r="A124" s="4" t="inlineStr">
        <is>
          <t>1012006</t>
        </is>
      </c>
      <c r="B124" s="5" t="inlineStr">
        <is>
          <t>SIDOLUX Okna a zrcadla Flower 750 ml</t>
        </is>
      </c>
      <c r="C124" s="4" t="inlineStr">
        <is>
          <t>5902986203992</t>
        </is>
      </c>
      <c r="D124" s="5" t="inlineStr">
        <is>
          <t>Sidolux WINDOW</t>
        </is>
      </c>
      <c r="E124" s="4" t="inlineStr">
        <is>
          <t>750ml</t>
        </is>
      </c>
      <c r="F124" s="6" t="n"/>
      <c r="G124" s="7" t="n">
        <v>21</v>
      </c>
      <c r="H124" s="8">
        <f>F124*(1+G124/100)</f>
        <v/>
      </c>
      <c r="I124" s="9" t="n"/>
      <c r="J124" s="7" t="n">
        <v>23</v>
      </c>
      <c r="K124" s="10">
        <f>I124*(1+J124/100)</f>
        <v/>
      </c>
      <c r="L124" s="11" t="inlineStr">
        <is>
          <t>Polsko</t>
        </is>
      </c>
      <c r="M124" s="12" t="n"/>
      <c r="N124" s="13" t="n"/>
      <c r="O124" s="13" t="n"/>
      <c r="P124" s="12" t="n"/>
    </row>
    <row r="125">
      <c r="A125" s="4" t="inlineStr">
        <is>
          <t>1012007</t>
        </is>
      </c>
      <c r="B125" s="5" t="inlineStr">
        <is>
          <t>SIDOLUX Okna a zrcadla Anti-fog 750 ml</t>
        </is>
      </c>
      <c r="C125" s="4" t="inlineStr">
        <is>
          <t>5902986245213</t>
        </is>
      </c>
      <c r="D125" s="5" t="inlineStr">
        <is>
          <t>Sidolux WINDOW</t>
        </is>
      </c>
      <c r="E125" s="4" t="inlineStr">
        <is>
          <t>750ml</t>
        </is>
      </c>
      <c r="F125" s="6" t="n"/>
      <c r="G125" s="7" t="n">
        <v>21</v>
      </c>
      <c r="H125" s="8">
        <f>F125*(1+G125/100)</f>
        <v/>
      </c>
      <c r="I125" s="9" t="n"/>
      <c r="J125" s="7" t="n">
        <v>23</v>
      </c>
      <c r="K125" s="10">
        <f>I125*(1+J125/100)</f>
        <v/>
      </c>
      <c r="L125" s="11" t="inlineStr">
        <is>
          <t>Polsko</t>
        </is>
      </c>
      <c r="M125" s="12" t="n"/>
      <c r="N125" s="13" t="n"/>
      <c r="O125" s="13" t="n"/>
      <c r="P125" s="12" t="n"/>
    </row>
    <row r="126">
      <c r="A126" s="4" t="inlineStr">
        <is>
          <t>1012008</t>
        </is>
      </c>
      <c r="B126" s="5" t="inlineStr">
        <is>
          <t>SIDOLUX Okna a zrcadla Japanese cherry 500 ml</t>
        </is>
      </c>
      <c r="C126" s="4" t="inlineStr">
        <is>
          <t>5902986211386</t>
        </is>
      </c>
      <c r="D126" s="5" t="inlineStr">
        <is>
          <t>Sidolux WINDOW</t>
        </is>
      </c>
      <c r="E126" s="4" t="inlineStr">
        <is>
          <t>500ml</t>
        </is>
      </c>
      <c r="F126" s="6" t="n"/>
      <c r="G126" s="7" t="n">
        <v>21</v>
      </c>
      <c r="H126" s="8">
        <f>F126*(1+G126/100)</f>
        <v/>
      </c>
      <c r="I126" s="9" t="n"/>
      <c r="J126" s="7" t="n">
        <v>23</v>
      </c>
      <c r="K126" s="10">
        <f>I126*(1+J126/100)</f>
        <v/>
      </c>
      <c r="L126" s="11" t="inlineStr">
        <is>
          <t>Polsko</t>
        </is>
      </c>
      <c r="M126" s="12" t="n"/>
      <c r="N126" s="13" t="n"/>
      <c r="O126" s="13" t="n"/>
      <c r="P126" s="12" t="n"/>
    </row>
    <row r="127">
      <c r="A127" s="4" t="inlineStr">
        <is>
          <t>1012011</t>
        </is>
      </c>
      <c r="B127" s="5" t="inlineStr">
        <is>
          <t>SIDOLUX Okna a zrcadla Lemon 500 ml</t>
        </is>
      </c>
      <c r="C127" s="4" t="inlineStr">
        <is>
          <t>5902986223303</t>
        </is>
      </c>
      <c r="D127" s="5" t="inlineStr">
        <is>
          <t>Sidolux WINDOW</t>
        </is>
      </c>
      <c r="E127" s="4" t="inlineStr">
        <is>
          <t>500ml</t>
        </is>
      </c>
      <c r="F127" s="6" t="n"/>
      <c r="G127" s="7" t="n">
        <v>21</v>
      </c>
      <c r="H127" s="8">
        <f>F127*(1+G127/100)</f>
        <v/>
      </c>
      <c r="I127" s="9" t="n"/>
      <c r="J127" s="7" t="n">
        <v>23</v>
      </c>
      <c r="K127" s="10">
        <f>I127*(1+J127/100)</f>
        <v/>
      </c>
      <c r="L127" s="11" t="inlineStr">
        <is>
          <t>Polsko</t>
        </is>
      </c>
      <c r="M127" s="12" t="n"/>
      <c r="N127" s="13" t="n"/>
      <c r="O127" s="13" t="n"/>
      <c r="P127" s="12" t="n"/>
    </row>
    <row r="128">
      <c r="A128" s="4" t="inlineStr">
        <is>
          <t>1012012</t>
        </is>
      </c>
      <c r="B128" s="5" t="inlineStr">
        <is>
          <t>SIDOLUX Okna a zrcadla Arctic 500 ml</t>
        </is>
      </c>
      <c r="C128" s="4" t="inlineStr">
        <is>
          <t>5902986223327</t>
        </is>
      </c>
      <c r="D128" s="5" t="inlineStr">
        <is>
          <t>Sidolux WINDOW</t>
        </is>
      </c>
      <c r="E128" s="4" t="inlineStr">
        <is>
          <t>500ml</t>
        </is>
      </c>
      <c r="F128" s="6" t="n"/>
      <c r="G128" s="7" t="n">
        <v>21</v>
      </c>
      <c r="H128" s="8">
        <f>F128*(1+G128/100)</f>
        <v/>
      </c>
      <c r="I128" s="9" t="n"/>
      <c r="J128" s="7" t="n">
        <v>23</v>
      </c>
      <c r="K128" s="10">
        <f>I128*(1+J128/100)</f>
        <v/>
      </c>
      <c r="L128" s="11" t="inlineStr">
        <is>
          <t>Polsko</t>
        </is>
      </c>
      <c r="M128" s="12" t="n"/>
      <c r="N128" s="13" t="n"/>
      <c r="O128" s="13" t="n"/>
      <c r="P128" s="12" t="n"/>
    </row>
    <row r="129">
      <c r="A129" s="4" t="inlineStr">
        <is>
          <t>1012013</t>
        </is>
      </c>
      <c r="B129" s="5" t="inlineStr">
        <is>
          <t>SIDOLUX Okna a zrcadla Flower 500 ml</t>
        </is>
      </c>
      <c r="C129" s="4" t="inlineStr">
        <is>
          <t>5902986223280</t>
        </is>
      </c>
      <c r="D129" s="5" t="inlineStr">
        <is>
          <t>Sidolux WINDOW</t>
        </is>
      </c>
      <c r="E129" s="4" t="inlineStr">
        <is>
          <t>500ml</t>
        </is>
      </c>
      <c r="F129" s="6" t="n"/>
      <c r="G129" s="7" t="n">
        <v>21</v>
      </c>
      <c r="H129" s="8">
        <f>F129*(1+G129/100)</f>
        <v/>
      </c>
      <c r="I129" s="9" t="n"/>
      <c r="J129" s="7" t="n">
        <v>23</v>
      </c>
      <c r="K129" s="10">
        <f>I129*(1+J129/100)</f>
        <v/>
      </c>
      <c r="L129" s="11" t="inlineStr">
        <is>
          <t>Polsko</t>
        </is>
      </c>
      <c r="M129" s="12" t="n"/>
      <c r="N129" s="13" t="n"/>
      <c r="O129" s="13" t="n"/>
      <c r="P129" s="12" t="n"/>
    </row>
    <row r="130">
      <c r="A130" s="4" t="inlineStr">
        <is>
          <t>1012014</t>
        </is>
      </c>
      <c r="B130" s="5" t="inlineStr">
        <is>
          <t>SIDOLUX Okna a zrcadla Anti-fog 500 ml</t>
        </is>
      </c>
      <c r="C130" s="4" t="inlineStr">
        <is>
          <t>5902986230059</t>
        </is>
      </c>
      <c r="D130" s="5" t="inlineStr">
        <is>
          <t>Sidolux WINDOW</t>
        </is>
      </c>
      <c r="E130" s="4" t="inlineStr">
        <is>
          <t>500ml</t>
        </is>
      </c>
      <c r="F130" s="6" t="n"/>
      <c r="G130" s="7" t="n">
        <v>21</v>
      </c>
      <c r="H130" s="8">
        <f>F130*(1+G130/100)</f>
        <v/>
      </c>
      <c r="I130" s="9" t="n"/>
      <c r="J130" s="7" t="n">
        <v>23</v>
      </c>
      <c r="K130" s="10">
        <f>I130*(1+J130/100)</f>
        <v/>
      </c>
      <c r="L130" s="11" t="inlineStr">
        <is>
          <t>Polsko</t>
        </is>
      </c>
      <c r="M130" s="12" t="n"/>
      <c r="N130" s="13" t="n"/>
      <c r="O130" s="13" t="n"/>
      <c r="P130" s="12" t="n"/>
    </row>
    <row r="131">
      <c r="A131" s="4" t="inlineStr">
        <is>
          <t>1012015</t>
        </is>
      </c>
      <c r="B131" s="5" t="inlineStr">
        <is>
          <t>SIDOLUX Okna a zrcadla Marseille soap lavender 500 ml</t>
        </is>
      </c>
      <c r="C131" s="4" t="inlineStr">
        <is>
          <t>5902986292897</t>
        </is>
      </c>
      <c r="D131" s="5" t="inlineStr">
        <is>
          <t>Sidolux WINDOW</t>
        </is>
      </c>
      <c r="E131" s="4" t="inlineStr">
        <is>
          <t>500ml</t>
        </is>
      </c>
      <c r="F131" s="6" t="n"/>
      <c r="G131" s="7" t="n">
        <v>21</v>
      </c>
      <c r="H131" s="8">
        <f>F131*(1+G131/100)</f>
        <v/>
      </c>
      <c r="I131" s="9" t="n"/>
      <c r="J131" s="7" t="n">
        <v>23</v>
      </c>
      <c r="K131" s="10">
        <f>I131*(1+J131/100)</f>
        <v/>
      </c>
      <c r="L131" s="11" t="inlineStr">
        <is>
          <t>Polsko</t>
        </is>
      </c>
      <c r="M131" s="12" t="n"/>
      <c r="N131" s="13" t="n"/>
      <c r="O131" s="13" t="n"/>
      <c r="P131" s="12" t="n"/>
    </row>
    <row r="132">
      <c r="A132" s="4" t="inlineStr">
        <is>
          <t>1012016</t>
        </is>
      </c>
      <c r="B132" s="5" t="inlineStr">
        <is>
          <t>SIDOLUX Okna a zrcadla Lemongrass 500 ml</t>
        </is>
      </c>
      <c r="C132" s="4" t="inlineStr">
        <is>
          <t>5902986211065</t>
        </is>
      </c>
      <c r="D132" s="5" t="inlineStr">
        <is>
          <t>Sidolux WINDOW</t>
        </is>
      </c>
      <c r="E132" s="4" t="inlineStr">
        <is>
          <t>500ml</t>
        </is>
      </c>
      <c r="F132" s="6" t="n"/>
      <c r="G132" s="7" t="n">
        <v>21</v>
      </c>
      <c r="H132" s="8">
        <f>F132*(1+G132/100)</f>
        <v/>
      </c>
      <c r="I132" s="9" t="n"/>
      <c r="J132" s="7" t="n">
        <v>23</v>
      </c>
      <c r="K132" s="10">
        <f>I132*(1+J132/100)</f>
        <v/>
      </c>
      <c r="L132" s="11" t="inlineStr">
        <is>
          <t>Polsko</t>
        </is>
      </c>
      <c r="M132" s="12" t="n"/>
      <c r="N132" s="13" t="n"/>
      <c r="O132" s="13" t="n"/>
      <c r="P132" s="12" t="n"/>
    </row>
    <row r="133">
      <c r="A133" s="4" t="inlineStr">
        <is>
          <t>1012020</t>
        </is>
      </c>
      <c r="B133" s="5" t="inlineStr">
        <is>
          <t>SIDOLUX Okna a zrcadla Lemon 5000 ml</t>
        </is>
      </c>
      <c r="C133" s="4" t="inlineStr">
        <is>
          <t>5902986233036</t>
        </is>
      </c>
      <c r="D133" s="5" t="inlineStr">
        <is>
          <t>Sidolux WINDOW</t>
        </is>
      </c>
      <c r="E133" s="4" t="inlineStr">
        <is>
          <t>5000ml</t>
        </is>
      </c>
      <c r="F133" s="6" t="n"/>
      <c r="G133" s="7" t="n">
        <v>21</v>
      </c>
      <c r="H133" s="8">
        <f>F133*(1+G133/100)</f>
        <v/>
      </c>
      <c r="I133" s="9" t="n"/>
      <c r="J133" s="7" t="n">
        <v>23</v>
      </c>
      <c r="K133" s="10">
        <f>I133*(1+J133/100)</f>
        <v/>
      </c>
      <c r="L133" s="11" t="inlineStr">
        <is>
          <t>Polsko</t>
        </is>
      </c>
      <c r="M133" s="12" t="n"/>
      <c r="N133" s="13" t="n"/>
      <c r="O133" s="13" t="n"/>
      <c r="P133" s="12" t="n"/>
    </row>
    <row r="134">
      <c r="A134" s="4" t="inlineStr">
        <is>
          <t>1012021</t>
        </is>
      </c>
      <c r="B134" s="5" t="inlineStr">
        <is>
          <t>SIDOLUX Okna a zrcadla Arctic 5000 ml</t>
        </is>
      </c>
      <c r="C134" s="4" t="inlineStr">
        <is>
          <t>5902986233029</t>
        </is>
      </c>
      <c r="D134" s="5" t="inlineStr">
        <is>
          <t>Sidolux WINDOW</t>
        </is>
      </c>
      <c r="E134" s="4" t="inlineStr">
        <is>
          <t>5000ml</t>
        </is>
      </c>
      <c r="F134" s="6" t="n"/>
      <c r="G134" s="7" t="n">
        <v>21</v>
      </c>
      <c r="H134" s="8">
        <f>F134*(1+G134/100)</f>
        <v/>
      </c>
      <c r="I134" s="9" t="n"/>
      <c r="J134" s="7" t="n">
        <v>23</v>
      </c>
      <c r="K134" s="10">
        <f>I134*(1+J134/100)</f>
        <v/>
      </c>
      <c r="L134" s="11" t="inlineStr">
        <is>
          <t>Polsko</t>
        </is>
      </c>
      <c r="M134" s="12" t="n"/>
      <c r="N134" s="13" t="n"/>
      <c r="O134" s="13" t="n"/>
      <c r="P134" s="12" t="n"/>
    </row>
    <row r="135">
      <c r="A135" s="4" t="inlineStr">
        <is>
          <t>1012030</t>
        </is>
      </c>
      <c r="B135" s="5" t="inlineStr">
        <is>
          <t>SIDOLUX Okna a rámy Marseille soap lavender 1000 ml</t>
        </is>
      </c>
      <c r="C135" s="4" t="inlineStr">
        <is>
          <t>5902986214127</t>
        </is>
      </c>
      <c r="D135" s="5" t="inlineStr">
        <is>
          <t>Sidolux WINDOW</t>
        </is>
      </c>
      <c r="E135" s="4" t="inlineStr">
        <is>
          <t>1000ml</t>
        </is>
      </c>
      <c r="F135" s="6" t="n"/>
      <c r="G135" s="7" t="n">
        <v>21</v>
      </c>
      <c r="H135" s="8">
        <f>F135*(1+G135/100)</f>
        <v/>
      </c>
      <c r="I135" s="9" t="n"/>
      <c r="J135" s="7" t="n">
        <v>23</v>
      </c>
      <c r="K135" s="10">
        <f>I135*(1+J135/100)</f>
        <v/>
      </c>
      <c r="L135" s="11" t="inlineStr">
        <is>
          <t>Polsko</t>
        </is>
      </c>
      <c r="M135" s="12" t="n"/>
      <c r="N135" s="13" t="n"/>
      <c r="O135" s="13" t="n"/>
      <c r="P135" s="12" t="n"/>
    </row>
    <row r="136">
      <c r="A136" s="4" t="inlineStr">
        <is>
          <t>1012031</t>
        </is>
      </c>
      <c r="B136" s="5" t="inlineStr">
        <is>
          <t>SIDOLUX Okna a rámy Ylang ylang 1000 ml</t>
        </is>
      </c>
      <c r="C136" s="4" t="inlineStr">
        <is>
          <t>5902986213533</t>
        </is>
      </c>
      <c r="D136" s="5" t="inlineStr">
        <is>
          <t>Sidolux WINDOW</t>
        </is>
      </c>
      <c r="E136" s="4" t="inlineStr">
        <is>
          <t>1000ml</t>
        </is>
      </c>
      <c r="F136" s="6" t="n"/>
      <c r="G136" s="7" t="n">
        <v>21</v>
      </c>
      <c r="H136" s="8">
        <f>F136*(1+G136/100)</f>
        <v/>
      </c>
      <c r="I136" s="9" t="n"/>
      <c r="J136" s="7" t="n">
        <v>23</v>
      </c>
      <c r="K136" s="10">
        <f>I136*(1+J136/100)</f>
        <v/>
      </c>
      <c r="L136" s="11" t="inlineStr">
        <is>
          <t>Polsko</t>
        </is>
      </c>
      <c r="M136" s="12" t="n"/>
      <c r="N136" s="13" t="n"/>
      <c r="O136" s="13" t="n"/>
      <c r="P136" s="12" t="n"/>
    </row>
    <row r="137">
      <c r="A137" s="4" t="inlineStr">
        <is>
          <t>1012040</t>
        </is>
      </c>
      <c r="B137" s="5" t="inlineStr">
        <is>
          <t>SIDOLUX Okna a zrcadla Arctic doypack 500 ml</t>
        </is>
      </c>
      <c r="C137" s="4" t="inlineStr">
        <is>
          <t>5902986244933</t>
        </is>
      </c>
      <c r="D137" s="5" t="inlineStr">
        <is>
          <t>Sidolux WINDOW</t>
        </is>
      </c>
      <c r="E137" s="4" t="inlineStr">
        <is>
          <t>500ml</t>
        </is>
      </c>
      <c r="F137" s="6" t="n"/>
      <c r="G137" s="7" t="n">
        <v>21</v>
      </c>
      <c r="H137" s="8">
        <f>F137*(1+G137/100)</f>
        <v/>
      </c>
      <c r="I137" s="9" t="n"/>
      <c r="J137" s="7" t="n">
        <v>23</v>
      </c>
      <c r="K137" s="10">
        <f>I137*(1+J137/100)</f>
        <v/>
      </c>
      <c r="L137" s="11" t="inlineStr">
        <is>
          <t>Polsko</t>
        </is>
      </c>
      <c r="M137" s="12" t="n"/>
      <c r="N137" s="13" t="n"/>
      <c r="O137" s="13" t="n"/>
      <c r="P137" s="12" t="n"/>
    </row>
    <row r="138">
      <c r="A138" s="4" t="inlineStr">
        <is>
          <t>1012041</t>
        </is>
      </c>
      <c r="B138" s="5" t="inlineStr">
        <is>
          <t>SIDOLUX Okna a zrcadla Marseille soap lavender doypack 500 ml</t>
        </is>
      </c>
      <c r="C138" s="4" t="inlineStr">
        <is>
          <t>5902986245091</t>
        </is>
      </c>
      <c r="D138" s="5" t="inlineStr">
        <is>
          <t>Sidolux WINDOW</t>
        </is>
      </c>
      <c r="E138" s="4" t="inlineStr">
        <is>
          <t>500ml</t>
        </is>
      </c>
      <c r="F138" s="6" t="n"/>
      <c r="G138" s="7" t="n">
        <v>21</v>
      </c>
      <c r="H138" s="8">
        <f>F138*(1+G138/100)</f>
        <v/>
      </c>
      <c r="I138" s="9" t="n"/>
      <c r="J138" s="7" t="n">
        <v>23</v>
      </c>
      <c r="K138" s="10">
        <f>I138*(1+J138/100)</f>
        <v/>
      </c>
      <c r="L138" s="11" t="inlineStr">
        <is>
          <t>Polsko</t>
        </is>
      </c>
      <c r="M138" s="12" t="n"/>
      <c r="N138" s="13" t="n"/>
      <c r="O138" s="13" t="n"/>
      <c r="P138" s="12" t="n"/>
    </row>
    <row r="139">
      <c r="A139" s="4" t="inlineStr">
        <is>
          <t>1012042</t>
        </is>
      </c>
      <c r="B139" s="5" t="inlineStr">
        <is>
          <t>SIDOLUX Okna a zrcadla Japanese cherry doypack 500 ml</t>
        </is>
      </c>
      <c r="C139" s="4" t="inlineStr">
        <is>
          <t>5902986216763</t>
        </is>
      </c>
      <c r="D139" s="5" t="inlineStr">
        <is>
          <t>Sidolux WINDOW</t>
        </is>
      </c>
      <c r="E139" s="4" t="inlineStr">
        <is>
          <t>500ml</t>
        </is>
      </c>
      <c r="F139" s="6" t="n"/>
      <c r="G139" s="7" t="n">
        <v>21</v>
      </c>
      <c r="H139" s="8">
        <f>F139*(1+G139/100)</f>
        <v/>
      </c>
      <c r="I139" s="9" t="n"/>
      <c r="J139" s="7" t="n">
        <v>23</v>
      </c>
      <c r="K139" s="10">
        <f>I139*(1+J139/100)</f>
        <v/>
      </c>
      <c r="L139" s="11" t="inlineStr">
        <is>
          <t>Polsko</t>
        </is>
      </c>
      <c r="M139" s="12" t="n"/>
      <c r="N139" s="13" t="n"/>
      <c r="O139" s="13" t="n"/>
      <c r="P139" s="12" t="n"/>
    </row>
    <row r="140">
      <c r="A140" s="4" t="inlineStr">
        <is>
          <t>1013510</t>
        </is>
      </c>
      <c r="B140" s="5" t="inlineStr">
        <is>
          <t>SILUX Antistatic spray 300 ml</t>
        </is>
      </c>
      <c r="C140" s="4" t="inlineStr">
        <is>
          <t>5907542740928</t>
        </is>
      </c>
      <c r="D140" s="5" t="inlineStr">
        <is>
          <t>Silux</t>
        </is>
      </c>
      <c r="E140" s="4" t="inlineStr">
        <is>
          <t>300ml</t>
        </is>
      </c>
      <c r="F140" s="6" t="n"/>
      <c r="G140" s="7" t="n">
        <v>21</v>
      </c>
      <c r="H140" s="8">
        <f>F140*(1+G140/100)</f>
        <v/>
      </c>
      <c r="I140" s="9" t="n"/>
      <c r="J140" s="7" t="n">
        <v>23</v>
      </c>
      <c r="K140" s="10">
        <f>I140*(1+J140/100)</f>
        <v/>
      </c>
      <c r="L140" s="11" t="inlineStr">
        <is>
          <t>Polsko</t>
        </is>
      </c>
      <c r="M140" s="12" t="n"/>
      <c r="N140" s="13" t="n"/>
      <c r="O140" s="13" t="n"/>
      <c r="P140" s="12" t="n"/>
    </row>
    <row r="141">
      <c r="A141" s="4" t="inlineStr">
        <is>
          <t>1013511</t>
        </is>
      </c>
      <c r="B141" s="5" t="inlineStr">
        <is>
          <t>SILUX Spray na nábytek Classic 330 ml</t>
        </is>
      </c>
      <c r="C141" s="4" t="inlineStr">
        <is>
          <t>5907542740904</t>
        </is>
      </c>
      <c r="D141" s="5" t="inlineStr">
        <is>
          <t>Silux</t>
        </is>
      </c>
      <c r="E141" s="4" t="inlineStr">
        <is>
          <t>300ml</t>
        </is>
      </c>
      <c r="F141" s="6" t="n"/>
      <c r="G141" s="7" t="n">
        <v>21</v>
      </c>
      <c r="H141" s="8">
        <f>F141*(1+G141/100)</f>
        <v/>
      </c>
      <c r="I141" s="9" t="n"/>
      <c r="J141" s="7" t="n">
        <v>23</v>
      </c>
      <c r="K141" s="10">
        <f>I141*(1+J141/100)</f>
        <v/>
      </c>
      <c r="L141" s="11" t="inlineStr">
        <is>
          <t>Polsko</t>
        </is>
      </c>
      <c r="M141" s="12" t="n"/>
      <c r="N141" s="13" t="n"/>
      <c r="O141" s="13" t="n"/>
      <c r="P141" s="12" t="n"/>
    </row>
    <row r="142">
      <c r="A142" s="4" t="inlineStr">
        <is>
          <t>2000254</t>
        </is>
      </c>
      <c r="B142" s="5" t="inlineStr">
        <is>
          <t>SILUX Melaminová houbička bílá 1 ks</t>
        </is>
      </c>
      <c r="C142" s="4" t="inlineStr">
        <is>
          <t>NA</t>
        </is>
      </c>
      <c r="D142" s="5" t="inlineStr">
        <is>
          <t>Silux</t>
        </is>
      </c>
      <c r="E142" s="4" t="inlineStr">
        <is>
          <t>1ks</t>
        </is>
      </c>
      <c r="F142" s="6" t="n"/>
      <c r="G142" s="7" t="n">
        <v>21</v>
      </c>
      <c r="H142" s="8">
        <f>F142*(1+G142/100)</f>
        <v/>
      </c>
      <c r="I142" s="9" t="n"/>
      <c r="J142" s="7" t="n">
        <v>23</v>
      </c>
      <c r="K142" s="10">
        <f>I142*(1+J142/100)</f>
        <v/>
      </c>
      <c r="L142" s="11" t="inlineStr">
        <is>
          <t>Polsko</t>
        </is>
      </c>
      <c r="M142" s="12" t="n"/>
      <c r="N142" s="13" t="n"/>
      <c r="O142" s="13" t="n"/>
      <c r="P142" s="12" t="n"/>
    </row>
    <row r="143">
      <c r="A143" s="4" t="inlineStr">
        <is>
          <t>5000015</t>
        </is>
      </c>
      <c r="B143" s="5" t="inlineStr">
        <is>
          <t>SILUX Utěrka mikrovlákno 40×40 cm</t>
        </is>
      </c>
      <c r="C143" s="4" t="inlineStr">
        <is>
          <t>5902986216749</t>
        </is>
      </c>
      <c r="D143" s="5" t="inlineStr">
        <is>
          <t>Silux</t>
        </is>
      </c>
      <c r="E143" s="4" t="inlineStr"/>
      <c r="F143" s="6" t="n"/>
      <c r="G143" s="7" t="n">
        <v>21</v>
      </c>
      <c r="H143" s="8">
        <f>F143*(1+G143/100)</f>
        <v/>
      </c>
      <c r="I143" s="9" t="n"/>
      <c r="J143" s="7" t="n">
        <v>23</v>
      </c>
      <c r="K143" s="10">
        <f>I143*(1+J143/100)</f>
        <v/>
      </c>
      <c r="L143" s="11" t="inlineStr">
        <is>
          <t>Polsko</t>
        </is>
      </c>
      <c r="M143" s="12" t="n"/>
      <c r="N143" s="13" t="n"/>
      <c r="O143" s="13" t="n"/>
      <c r="P143" s="12" t="n"/>
    </row>
    <row r="144">
      <c r="A144" s="4" t="inlineStr">
        <is>
          <t>6000001</t>
        </is>
      </c>
      <c r="B144" s="5" t="inlineStr">
        <is>
          <t>SILUX Houbičky mix Jablko/Kytička 4 ks + přísavka</t>
        </is>
      </c>
      <c r="C144" s="4" t="inlineStr">
        <is>
          <t>NA</t>
        </is>
      </c>
      <c r="D144" s="5" t="inlineStr">
        <is>
          <t>Silux</t>
        </is>
      </c>
      <c r="E144" s="4" t="inlineStr">
        <is>
          <t>4ks</t>
        </is>
      </c>
      <c r="F144" s="6" t="n"/>
      <c r="G144" s="7" t="n">
        <v>21</v>
      </c>
      <c r="H144" s="8">
        <f>F144*(1+G144/100)</f>
        <v/>
      </c>
      <c r="I144" s="9" t="n"/>
      <c r="J144" s="7" t="n">
        <v>23</v>
      </c>
      <c r="K144" s="10">
        <f>I144*(1+J144/100)</f>
        <v/>
      </c>
      <c r="L144" s="11" t="inlineStr">
        <is>
          <t>Polsko</t>
        </is>
      </c>
      <c r="M144" s="12" t="n"/>
      <c r="N144" s="13" t="n"/>
      <c r="O144" s="13" t="n"/>
      <c r="P144" s="12" t="n"/>
    </row>
    <row r="145">
      <c r="A145" s="4" t="inlineStr">
        <is>
          <t>6000002</t>
        </is>
      </c>
      <c r="B145" s="5" t="inlineStr">
        <is>
          <t>SILUX Houbičky Jablko 4 ks + přísavka</t>
        </is>
      </c>
      <c r="C145" s="4" t="inlineStr">
        <is>
          <t>5908259897424</t>
        </is>
      </c>
      <c r="D145" s="5" t="inlineStr">
        <is>
          <t>Silux</t>
        </is>
      </c>
      <c r="E145" s="4" t="inlineStr"/>
      <c r="F145" s="6" t="n"/>
      <c r="G145" s="7" t="n">
        <v>21</v>
      </c>
      <c r="H145" s="8">
        <f>F145*(1+G145/100)</f>
        <v/>
      </c>
      <c r="I145" s="9" t="n"/>
      <c r="J145" s="7" t="n">
        <v>23</v>
      </c>
      <c r="K145" s="10">
        <f>I145*(1+J145/100)</f>
        <v/>
      </c>
      <c r="L145" s="11" t="inlineStr">
        <is>
          <t>Polsko</t>
        </is>
      </c>
      <c r="M145" s="12" t="n"/>
      <c r="N145" s="13" t="n"/>
      <c r="O145" s="13" t="n"/>
      <c r="P145" s="12" t="n"/>
    </row>
    <row r="146">
      <c r="A146" s="4" t="inlineStr">
        <is>
          <t>6000003</t>
        </is>
      </c>
      <c r="B146" s="5" t="inlineStr">
        <is>
          <t>SILUX Houbičky Kytička 4 ks + přísavka</t>
        </is>
      </c>
      <c r="C146" s="4" t="inlineStr">
        <is>
          <t>5908259897448</t>
        </is>
      </c>
      <c r="D146" s="5" t="inlineStr">
        <is>
          <t>Silux</t>
        </is>
      </c>
      <c r="E146" s="4" t="inlineStr"/>
      <c r="F146" s="6" t="n"/>
      <c r="G146" s="7" t="n">
        <v>21</v>
      </c>
      <c r="H146" s="8">
        <f>F146*(1+G146/100)</f>
        <v/>
      </c>
      <c r="I146" s="9" t="n"/>
      <c r="J146" s="7" t="n">
        <v>23</v>
      </c>
      <c r="K146" s="10">
        <f>I146*(1+J146/100)</f>
        <v/>
      </c>
      <c r="L146" s="11" t="inlineStr">
        <is>
          <t>Polsko</t>
        </is>
      </c>
      <c r="M146" s="12" t="n"/>
      <c r="N146" s="13" t="n"/>
      <c r="O146" s="13" t="n"/>
      <c r="P146" s="12" t="n"/>
    </row>
    <row r="147">
      <c r="A147" s="4" t="inlineStr">
        <is>
          <t>6000004</t>
        </is>
      </c>
      <c r="B147" s="5" t="inlineStr">
        <is>
          <t>SILUX Houbičky 10 ks</t>
        </is>
      </c>
      <c r="C147" s="4" t="inlineStr">
        <is>
          <t>5908259897400</t>
        </is>
      </c>
      <c r="D147" s="5" t="inlineStr">
        <is>
          <t>Silux</t>
        </is>
      </c>
      <c r="E147" s="4" t="inlineStr"/>
      <c r="F147" s="6" t="n"/>
      <c r="G147" s="7" t="n">
        <v>21</v>
      </c>
      <c r="H147" s="8">
        <f>F147*(1+G147/100)</f>
        <v/>
      </c>
      <c r="I147" s="9" t="n"/>
      <c r="J147" s="7" t="n">
        <v>23</v>
      </c>
      <c r="K147" s="10">
        <f>I147*(1+J147/100)</f>
        <v/>
      </c>
      <c r="L147" s="11" t="inlineStr">
        <is>
          <t>Polsko</t>
        </is>
      </c>
      <c r="M147" s="12" t="n"/>
      <c r="N147" s="13" t="n"/>
      <c r="O147" s="13" t="n"/>
      <c r="P147" s="12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Pokyny pro vyplnění formuláře</t>
        </is>
      </c>
    </row>
    <row r="2">
      <c r="A2" s="15" t="inlineStr"/>
    </row>
    <row r="3">
      <c r="A3" s="16" t="inlineStr">
        <is>
          <t>Barevné označení sloupců:</t>
        </is>
      </c>
    </row>
    <row r="4">
      <c r="A4" s="17" t="inlineStr">
        <is>
          <t xml:space="preserve">   • šedivé (A–E): naše data, neměňte je. Slouží jako párovací klíč a reference.</t>
        </is>
      </c>
    </row>
    <row r="5">
      <c r="A5" s="17" t="inlineStr">
        <is>
          <t xml:space="preserve">   • žluté: tady doplňte hodnoty.</t>
        </is>
      </c>
    </row>
    <row r="6">
      <c r="A6" s="17" t="inlineStr">
        <is>
          <t xml:space="preserve">   • zelené: prefilled (předvyplněno) — můžete upravit, pokud má daný produkt jinou hodnotu.</t>
        </is>
      </c>
    </row>
    <row r="7">
      <c r="A7" s="17" t="inlineStr">
        <is>
          <t xml:space="preserve">   • modré: automaticky dopočítané (cena s DPH = cena bez DPH × (1 + sazba/100)). Neměňte.</t>
        </is>
      </c>
    </row>
    <row r="8">
      <c r="A8" s="15" t="inlineStr"/>
    </row>
    <row r="9">
      <c r="A9" s="18" t="inlineStr">
        <is>
          <t>1. Cena bez DPH v CZK (sloupec F) a EUR (sloupec I) — povinné pro každý produkt.</t>
        </is>
      </c>
    </row>
    <row r="10">
      <c r="A10" s="1" t="inlineStr">
        <is>
          <t xml:space="preserve">   Doporučená maloobchodní cena pro Heureka feed (CZ + SK). Sidolux není e-shop, je to pouze referenční údaj.</t>
        </is>
      </c>
    </row>
    <row r="11">
      <c r="A11" s="15" t="inlineStr"/>
    </row>
    <row r="12">
      <c r="A12" s="18" t="inlineStr">
        <is>
          <t>2. Sazba DPH (sloupce G, J) — prefilled na 21 % (CZ) a 23 % (SK). Pokud má některý produkt jinou sazbu, přepište.</t>
        </is>
      </c>
    </row>
    <row r="13">
      <c r="A13" s="15" t="inlineStr"/>
    </row>
    <row r="14">
      <c r="A14" s="18" t="inlineStr">
        <is>
          <t>3. Cena s DPH (sloupce H, K) — automaticky dopočítané, NEMĚŇTE je. Excel počítá formulí.</t>
        </is>
      </c>
    </row>
    <row r="15">
      <c r="A15" s="15" t="inlineStr"/>
    </row>
    <row r="16">
      <c r="A16" s="18" t="inlineStr">
        <is>
          <t>4. Země původu (sloupec L) — prefilled "Polsko". Pokud je produkt vyráběn jinde (např. Mr. Teppich v jiné zemi), přepište.</t>
        </is>
      </c>
    </row>
    <row r="17">
      <c r="A17" s="15" t="inlineStr"/>
    </row>
    <row r="18">
      <c r="A18" s="18" t="inlineStr">
        <is>
          <t>5. MPN / Kód výrobce (sloupec M) — pokud máte interní kód odlišný od Kódu Lakma, doplňte.</t>
        </is>
      </c>
    </row>
    <row r="19">
      <c r="A19" s="15" t="inlineStr"/>
    </row>
    <row r="20">
      <c r="A20" s="18" t="inlineStr">
        <is>
          <t>6. PAO (sloupec N) — Period After Opening v měsících. Symbol "12M" → vyplníte 12. Pokud produkt PAO nemá, nechte prázdné.</t>
        </is>
      </c>
    </row>
    <row r="21">
      <c r="A21" s="15" t="inlineStr"/>
    </row>
    <row r="22">
      <c r="A22" s="18" t="inlineStr">
        <is>
          <t>7. Záruční doba (sloupec O) — v měsících. Pokud máte různou pro CZ vs SK, uveďte CZ a poznamenejte do sloupce P.</t>
        </is>
      </c>
    </row>
    <row r="23">
      <c r="A23" s="15" t="inlineStr"/>
    </row>
    <row r="24">
      <c r="A24" s="18" t="inlineStr">
        <is>
          <t>8. Pokud k některému produktu hodnoty nejsou (vzorek, výprodej, ukončený), nechte buňky prázdné a doplňte poznámku do P.</t>
        </is>
      </c>
    </row>
    <row r="25">
      <c r="A25" s="15" t="inlineStr"/>
    </row>
    <row r="26">
      <c r="A26" s="18" t="inlineStr">
        <is>
          <t>9. Vyplněný soubor pošlete zpět ve formátu XLSX. Importujeme automaticky podle Kódu Lakma.</t>
        </is>
      </c>
    </row>
    <row r="27">
      <c r="A27" s="15" t="inlineStr"/>
    </row>
    <row r="28">
      <c r="A28" s="19" t="inlineStr">
        <is>
          <t>Kontakt: honza@drogeriezde.cz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2026-05-05T16:36:48Z</dcterms:created>
  <dcterms:modified xmlns:dcterms="http://purl.org/dc/terms/" xmlns:xsi="http://www.w3.org/2001/XMLSchema-instance" xsi:type="dcterms:W3CDTF">2026-05-05T16:36:48Z</dcterms:modified>
</cp:coreProperties>
</file>